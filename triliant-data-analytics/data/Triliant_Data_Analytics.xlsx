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Client Tracker" sheetId="3" state="visible" r:id="rId5"/>
    <sheet name="Charts" sheetId="4" state="visible" r:id="rId6"/>
  </sheets>
  <definedNames>
    <definedName function="false" hidden="true" localSheetId="0" name="_xlnm._FilterDatabase" vbProcedure="false">'Raw Data'!$A$1:$N$1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<sst xmlns="http://schemas.openxmlformats.org/spreadsheetml/2006/main" count="796" uniqueCount="76">
  <si>
    <t xml:space="preserve">Month</t>
  </si>
  <si>
    <t xml:space="preserve">Client</t>
  </si>
  <si>
    <t xml:space="preserve">Industry</t>
  </si>
  <si>
    <t xml:space="preserve">Service Type</t>
  </si>
  <si>
    <t xml:space="preserve">Revenue (BDT)</t>
  </si>
  <si>
    <t xml:space="preserve">Project Status</t>
  </si>
  <si>
    <t xml:space="preserve">Report Time (hrs)</t>
  </si>
  <si>
    <t xml:space="preserve">Satisfaction (1-5)</t>
  </si>
  <si>
    <t xml:space="preserve">KPI Achievement (%)</t>
  </si>
  <si>
    <t xml:space="preserve">New Leads</t>
  </si>
  <si>
    <t xml:space="preserve">Conversions</t>
  </si>
  <si>
    <t xml:space="preserve">Region</t>
  </si>
  <si>
    <t xml:space="preserve">Team Size</t>
  </si>
  <si>
    <t xml:space="preserve">On-Time</t>
  </si>
  <si>
    <t xml:space="preserve">Mar-25</t>
  </si>
  <si>
    <t xml:space="preserve">Adila Apparels</t>
  </si>
  <si>
    <t xml:space="preserve">Garments</t>
  </si>
  <si>
    <t xml:space="preserve">Custom Software Dev</t>
  </si>
  <si>
    <t xml:space="preserve">Active</t>
  </si>
  <si>
    <t xml:space="preserve">Dhaka</t>
  </si>
  <si>
    <t xml:space="preserve">Yes</t>
  </si>
  <si>
    <t xml:space="preserve">Chai Break</t>
  </si>
  <si>
    <t xml:space="preserve">F&amp;B</t>
  </si>
  <si>
    <t xml:space="preserve">AI &amp; ML Solutions</t>
  </si>
  <si>
    <t xml:space="preserve">Completed</t>
  </si>
  <si>
    <t xml:space="preserve">Fair Farm BD</t>
  </si>
  <si>
    <t xml:space="preserve">AgriTech</t>
  </si>
  <si>
    <t xml:space="preserve">Data Analytics</t>
  </si>
  <si>
    <t xml:space="preserve">Infinabel</t>
  </si>
  <si>
    <t xml:space="preserve">E-commerce</t>
  </si>
  <si>
    <t xml:space="preserve">Digital Transformation</t>
  </si>
  <si>
    <t xml:space="preserve">Nodi Bangla</t>
  </si>
  <si>
    <t xml:space="preserve">Media</t>
  </si>
  <si>
    <t xml:space="preserve">Chittagong</t>
  </si>
  <si>
    <t xml:space="preserve">Robust Developments</t>
  </si>
  <si>
    <t xml:space="preserve">Real Estate</t>
  </si>
  <si>
    <t xml:space="preserve">No</t>
  </si>
  <si>
    <t xml:space="preserve">Monoara Jahur</t>
  </si>
  <si>
    <t xml:space="preserve">Manufacturing</t>
  </si>
  <si>
    <t xml:space="preserve">TechnoVate BD</t>
  </si>
  <si>
    <t xml:space="preserve">IT Services</t>
  </si>
  <si>
    <t xml:space="preserve">On Hold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</si>
  <si>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</si>
  <si>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</si>
  <si>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</si>
  <si>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</si>
  <si>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</si>
  <si>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</si>
  <si>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</si>
  <si>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</si>
  <si>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</si>
  <si>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</si>
  <si>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</si>
  <si>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TRILIANT DATA — BUSINESS PERFORMANCE DASHBOARD</t>
  </si>
  <si>
    <t xml:space="preserve">Bangladesh Operations · Mar 2025 – Feb 2026 · Analyst: Md. Abul Bashar Nirob</t>
  </si>
  <si>
    <t xml:space="preserve">Total Revenue</t>
  </si>
  <si>
    <t xml:space="preserve">Avg Satisfaction</t>
  </si>
  <si>
    <t xml:space="preserve">Avg Report Time</t>
  </si>
  <si>
    <t xml:space="preserve">Active Clients</t>
  </si>
  <si>
    <t xml:space="preserve">BDT</t>
  </si>
  <si>
    <t xml:space="preserve">/5.0</t>
  </si>
  <si>
    <t xml:space="preserve">hrs</t>
  </si>
  <si>
    <t xml:space="preserve">clients</t>
  </si>
  <si>
    <t xml:space="preserve">MONTHLY PERFORMANCE SUMMARY</t>
  </si>
  <si>
    <t xml:space="preserve">KPI Achievement %</t>
  </si>
  <si>
    <t xml:space="preserve">Conv Rate</t>
  </si>
  <si>
    <t xml:space="preserve">MoM Growth</t>
  </si>
  <si>
    <t xml:space="preserve">TOTAL / AVG</t>
  </si>
  <si>
    <t xml:space="preserve">CLIENT PORTFOLIO TRACKER — TRILIANT DATA</t>
  </si>
  <si>
    <t xml:space="preserve">Total Revenue (BDT)</t>
  </si>
  <si>
    <t xml:space="preserve">Months Active</t>
  </si>
  <si>
    <t xml:space="preserve">Avg KPI Ach %</t>
  </si>
  <si>
    <t xml:space="preserve">Status</t>
  </si>
  <si>
    <t xml:space="preserve">12</t>
  </si>
  <si>
    <t xml:space="preserve">VISUAL ANALYTICS</t>
  </si>
  <si>
    <t xml:space="preserve">Revenue (BDT '000)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</si>
</sst>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"/>
    <numFmt numFmtId="168" formatCode="0.00"/>
    <numFmt numFmtId="169" formatCode="@"/>
    <numFmt numFmtId="170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90CAF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2196F3"/>
      <name val="Arial"/>
      <family val="0"/>
      <charset val="1"/>
    </font>
    <font>
      <b val="true"/>
      <sz val="18"/>
      <color rgb="FF00BCD4"/>
      <name val="Arial"/>
      <family val="0"/>
      <charset val="1"/>
    </font>
    <font>
      <b val="true"/>
      <sz val="18"/>
      <color rgb="FFE65100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212529"/>
      </patternFill>
    </fill>
    <fill>
      <patternFill patternType="solid">
        <fgColor rgb="FFE8F4FD"/>
        <bgColor rgb="FFE8F5E9"/>
      </patternFill>
    </fill>
    <fill>
      <patternFill patternType="solid">
        <fgColor rgb="FFFFFFFF"/>
        <bgColor rgb="FFF5F7FA"/>
      </patternFill>
    </fill>
    <fill>
      <patternFill patternType="solid">
        <fgColor rgb="FF1A3A5C"/>
        <bgColor rgb="FF212529"/>
      </patternFill>
    </fill>
    <fill>
      <patternFill patternType="solid">
        <fgColor rgb="FF2196F3"/>
        <bgColor rgb="FF00BCD4"/>
      </patternFill>
    </fill>
    <fill>
      <patternFill patternType="solid">
        <fgColor rgb="FF00BCD4"/>
        <bgColor rgb="FF33CCCC"/>
      </patternFill>
    </fill>
    <fill>
      <patternFill patternType="solid">
        <fgColor rgb="FFE65100"/>
        <bgColor rgb="FFC62828"/>
      </patternFill>
    </fill>
    <fill>
      <patternFill patternType="solid">
        <fgColor rgb="FF2E7D32"/>
        <bgColor rgb="FF008000"/>
      </patternFill>
    </fill>
    <fill>
      <patternFill patternType="solid">
        <fgColor rgb="FFF5F7FA"/>
        <bgColor rgb="FFE8F4FD"/>
      </patternFill>
    </fill>
    <fill>
      <patternFill patternType="solid">
        <fgColor rgb="FFE8F5E9"/>
        <bgColor rgb="FFE8F4FD"/>
      </patternFill>
    </fill>
    <fill>
      <patternFill patternType="solid">
        <fgColor rgb="FFFFF3E0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D1B2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3E0"/>
      <rgbColor rgb="FFE8F4FD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E8F5E9"/>
      <rgbColor rgb="FFF5F7FA"/>
      <rgbColor rgb="FFFFFF99"/>
      <rgbColor rgb="FF90CAF9"/>
      <rgbColor rgb="FFFF99CC"/>
      <rgbColor rgb="FFCC99FF"/>
      <rgbColor rgb="FFFFCC99"/>
      <rgbColor rgb="FF2196F3"/>
      <rgbColor rgb="FF33CCCC"/>
      <rgbColor rgb="FF99CC00"/>
      <rgbColor rgb="FFFFCC00"/>
      <rgbColor rgb="FFFF9900"/>
      <rgbColor rgb="FFE65100"/>
      <rgbColor rgb="FF666699"/>
      <rgbColor rgb="FF888888"/>
      <rgbColor rgb="FF1A3A5C"/>
      <rgbColor rgb="FF2E7D32"/>
      <rgbColor rgb="FF0D1B2A"/>
      <rgbColor rgb="FF333300"/>
      <rgbColor rgb="FFC62828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(BDT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Revenue (BDT '000)</c:v>
                </c:pt>
              </c:strCache>
            </c:strRef>
          </c:tx>
          <c:spPr>
            <a:solidFill>
              <a:srgbClr val="2196f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Mar-25</c:v>
                </c:pt>
                <c:pt idx="1">
                  <c:v>Apr-25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  <c:pt idx="10">
                  <c:v>Jan-26</c:v>
                </c:pt>
                <c:pt idx="11">
                  <c:v>Feb-26</c:v>
                </c:pt>
              </c:strCache>
            </c:strRef>
          </c:cat>
          <c:val>
            <c:numRef>
              <c:f>Charts!$B$4:$B$15</c:f>
              <c:numCache>
                <c:formatCode>General</c:formatCode>
                <c:ptCount val="12"/>
                <c:pt idx="0">
                  <c:v>9.3</c:v>
                </c:pt>
                <c:pt idx="1">
                  <c:v>10.8</c:v>
                </c:pt>
                <c:pt idx="2">
                  <c:v>12.5</c:v>
                </c:pt>
                <c:pt idx="3">
                  <c:v>14</c:v>
                </c:pt>
                <c:pt idx="4">
                  <c:v>15.9</c:v>
                </c:pt>
                <c:pt idx="5">
                  <c:v>17.9</c:v>
                </c:pt>
                <c:pt idx="6">
                  <c:v>16.9</c:v>
                </c:pt>
                <c:pt idx="7">
                  <c:v>19.5</c:v>
                </c:pt>
                <c:pt idx="8">
                  <c:v>21.4</c:v>
                </c:pt>
                <c:pt idx="9">
                  <c:v>23.3</c:v>
                </c:pt>
                <c:pt idx="10">
                  <c:v>22.6</c:v>
                </c:pt>
                <c:pt idx="11">
                  <c:v>25</c:v>
                </c:pt>
              </c:numCache>
            </c:numRef>
          </c:val>
        </c:ser>
        <c:gapWidth val="150"/>
        <c:overlap val="0"/>
        <c:axId val="50597819"/>
        <c:axId val="46942879"/>
      </c:barChart>
      <c:catAx>
        <c:axId val="50597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42879"/>
        <c:crosses val="autoZero"/>
        <c:auto val="1"/>
        <c:lblAlgn val="ctr"/>
        <c:lblOffset val="100"/>
        <c:noMultiLvlLbl val="0"/>
      </c:catAx>
      <c:valAx>
        <c:axId val="46942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7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Time (hrs) vs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Charts!C3</c:f>
              <c:strCache>
                <c:ptCount val="1"/>
                <c:pt idx="0">
                  <c:v>Report Time (hrs)</c:v>
                </c:pt>
              </c:strCache>
            </c:strRef>
          </c:tx>
          <c:spPr>
            <a:solidFill>
              <a:srgbClr val="e65100"/>
            </a:solidFill>
            <a:ln w="2844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Mar-25</c:v>
                </c:pt>
                <c:pt idx="1">
                  <c:v>Apr-25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  <c:pt idx="10">
                  <c:v>Jan-26</c:v>
                </c:pt>
                <c:pt idx="11">
                  <c:v>Feb-26</c:v>
                </c:pt>
              </c:strCache>
            </c:strRef>
          </c:cat>
          <c:val>
            <c:numRef>
              <c:f>Charts!$C$4:$C$15</c:f>
              <c:numCache>
                <c:formatCode>General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Charts!D3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2e7d32"/>
            </a:solidFill>
            <a:ln w="284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Mar-25</c:v>
                </c:pt>
                <c:pt idx="1">
                  <c:v>Apr-25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  <c:pt idx="10">
                  <c:v>Jan-26</c:v>
                </c:pt>
                <c:pt idx="11">
                  <c:v>Feb-26</c:v>
                </c:pt>
              </c:strCache>
            </c:strRef>
          </c:cat>
          <c:val>
            <c:numRef>
              <c:f>Charts!$D$4:$D$15</c:f>
              <c:numCache>
                <c:formatCode>General</c:formatCode>
                <c:ptCount val="12"/>
                <c:pt idx="0">
                  <c:v>3.6</c:v>
                </c:pt>
                <c:pt idx="1">
                  <c:v>3.7</c:v>
                </c:pt>
                <c:pt idx="2">
                  <c:v>3.8</c:v>
                </c:pt>
                <c:pt idx="3">
                  <c:v>3.9</c:v>
                </c:pt>
                <c:pt idx="4">
                  <c:v>4</c:v>
                </c:pt>
                <c:pt idx="5">
                  <c:v>4.1</c:v>
                </c:pt>
                <c:pt idx="6">
                  <c:v>4.1</c:v>
                </c:pt>
                <c:pt idx="7">
                  <c:v>4.3</c:v>
                </c:pt>
                <c:pt idx="8">
                  <c:v>4.4</c:v>
                </c:pt>
                <c:pt idx="9">
                  <c:v>4.5</c:v>
                </c:pt>
                <c:pt idx="10">
                  <c:v>4.6</c:v>
                </c:pt>
                <c:pt idx="11">
                  <c:v>4.7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904235"/>
        <c:axId val="34883944"/>
      </c:lineChart>
      <c:catAx>
        <c:axId val="20904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83944"/>
        <c:crosses val="autoZero"/>
        <c:auto val="1"/>
        <c:lblAlgn val="ctr"/>
        <c:lblOffset val="100"/>
        <c:noMultiLvlLbl val="0"/>
      </c:catAx>
      <c:valAx>
        <c:axId val="34883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42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KPI Achievement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Charts!E3</c:f>
              <c:strCache>
                <c:ptCount val="1"/>
                <c:pt idx="0">
                  <c:v>KPI Achievement %</c:v>
                </c:pt>
              </c:strCache>
            </c:strRef>
          </c:tx>
          <c:spPr>
            <a:solidFill>
              <a:srgbClr val="00bcd4"/>
            </a:solidFill>
            <a:ln w="2844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Mar-25</c:v>
                </c:pt>
                <c:pt idx="1">
                  <c:v>Apr-25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  <c:pt idx="10">
                  <c:v>Jan-26</c:v>
                </c:pt>
                <c:pt idx="11">
                  <c:v>Feb-26</c:v>
                </c:pt>
              </c:strCache>
            </c:strRef>
          </c:cat>
          <c:val>
            <c:numRef>
              <c:f>Charts!$E$4:$E$15</c:f>
              <c:numCache>
                <c:formatCode>General</c:formatCode>
                <c:ptCount val="12"/>
                <c:pt idx="0">
                  <c:v>64</c:v>
                </c:pt>
                <c:pt idx="1">
                  <c:v>68</c:v>
                </c:pt>
                <c:pt idx="2">
                  <c:v>71</c:v>
                </c:pt>
                <c:pt idx="3">
                  <c:v>74</c:v>
                </c:pt>
                <c:pt idx="4">
                  <c:v>78</c:v>
                </c:pt>
                <c:pt idx="5">
                  <c:v>82</c:v>
                </c:pt>
                <c:pt idx="6">
                  <c:v>80</c:v>
                </c:pt>
                <c:pt idx="7">
                  <c:v>86</c:v>
                </c:pt>
                <c:pt idx="8">
                  <c:v>88</c:v>
                </c:pt>
                <c:pt idx="9">
                  <c:v>91</c:v>
                </c:pt>
                <c:pt idx="10">
                  <c:v>90</c:v>
                </c:pt>
                <c:pt idx="11">
                  <c:v>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036021"/>
        <c:axId val="25712196"/>
      </c:lineChart>
      <c:catAx>
        <c:axId val="56036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12196"/>
        <c:crosses val="autoZero"/>
        <c:auto val="1"/>
        <c:lblAlgn val="ctr"/>
        <c:lblOffset val="100"/>
        <c:noMultiLvlLbl val="0"/>
      </c:catAx>
      <c:valAx>
        <c:axId val="25712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KPI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36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473040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7448400" y="6476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18</xdr:col>
      <xdr:colOff>473040</xdr:colOff>
      <xdr:row>41</xdr:row>
      <xdr:rowOff>128520</xdr:rowOff>
    </xdr:to>
    <xdr:graphicFrame>
      <xdr:nvGraphicFramePr>
        <xdr:cNvPr id="1" name="Chart 2"/>
        <xdr:cNvGraphicFramePr/>
      </xdr:nvGraphicFramePr>
      <xdr:xfrm>
        <a:off x="7448400" y="38862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18</xdr:col>
      <xdr:colOff>473040</xdr:colOff>
      <xdr:row>58</xdr:row>
      <xdr:rowOff>128520</xdr:rowOff>
    </xdr:to>
    <xdr:graphicFrame>
      <xdr:nvGraphicFramePr>
        <xdr:cNvPr id="2" name="Chart 3"/>
        <xdr:cNvGraphicFramePr/>
      </xdr:nvGraphicFramePr>
      <xdr:xfrm>
        <a:off x="7448400" y="71247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3" t="n">
        <v>838</v>
      </c>
      <c r="F2" s="2" t="s">
        <v>18</v>
      </c>
      <c r="G2" s="2" t="n">
        <v>17</v>
      </c>
      <c r="H2" s="4" t="n">
        <v>3.6</v>
      </c>
      <c r="I2" s="5" t="n">
        <v>62</v>
      </c>
      <c r="J2" s="2" t="n">
        <v>11</v>
      </c>
      <c r="K2" s="2" t="n">
        <v>4</v>
      </c>
      <c r="L2" s="2" t="s">
        <v>19</v>
      </c>
      <c r="M2" s="2" t="n">
        <v>6</v>
      </c>
      <c r="N2" s="2" t="s">
        <v>20</v>
      </c>
    </row>
    <row r="3" customFormat="false" ht="15" hidden="false" customHeight="false" outlineLevel="0" collapsed="false">
      <c r="A3" s="6" t="s">
        <v>14</v>
      </c>
      <c r="B3" s="6" t="s">
        <v>21</v>
      </c>
      <c r="C3" s="6" t="s">
        <v>22</v>
      </c>
      <c r="D3" s="6" t="s">
        <v>23</v>
      </c>
      <c r="E3" s="7" t="n">
        <v>857</v>
      </c>
      <c r="F3" s="6" t="s">
        <v>24</v>
      </c>
      <c r="G3" s="6" t="n">
        <v>18</v>
      </c>
      <c r="H3" s="8" t="n">
        <v>3.5</v>
      </c>
      <c r="I3" s="9" t="n">
        <v>61</v>
      </c>
      <c r="J3" s="6" t="n">
        <v>11</v>
      </c>
      <c r="K3" s="6" t="n">
        <v>4</v>
      </c>
      <c r="L3" s="6" t="s">
        <v>19</v>
      </c>
      <c r="M3" s="6" t="n">
        <v>2</v>
      </c>
      <c r="N3" s="6" t="s">
        <v>20</v>
      </c>
    </row>
    <row r="4" customFormat="false" ht="15" hidden="false" customHeight="false" outlineLevel="0" collapsed="false">
      <c r="A4" s="2" t="s">
        <v>14</v>
      </c>
      <c r="B4" s="2" t="s">
        <v>25</v>
      </c>
      <c r="C4" s="2" t="s">
        <v>26</v>
      </c>
      <c r="D4" s="2" t="s">
        <v>27</v>
      </c>
      <c r="E4" s="3" t="n">
        <v>1026</v>
      </c>
      <c r="F4" s="2" t="s">
        <v>18</v>
      </c>
      <c r="G4" s="2" t="n">
        <v>19</v>
      </c>
      <c r="H4" s="4" t="n">
        <v>3.6</v>
      </c>
      <c r="I4" s="5" t="n">
        <v>65</v>
      </c>
      <c r="J4" s="2" t="n">
        <v>13</v>
      </c>
      <c r="K4" s="2" t="n">
        <v>5</v>
      </c>
      <c r="L4" s="2" t="s">
        <v>19</v>
      </c>
      <c r="M4" s="2" t="n">
        <v>4</v>
      </c>
      <c r="N4" s="2" t="s">
        <v>20</v>
      </c>
    </row>
    <row r="5" customFormat="false" ht="15" hidden="false" customHeight="false" outlineLevel="0" collapsed="false">
      <c r="A5" s="6" t="s">
        <v>14</v>
      </c>
      <c r="B5" s="6" t="s">
        <v>28</v>
      </c>
      <c r="C5" s="6" t="s">
        <v>29</v>
      </c>
      <c r="D5" s="6" t="s">
        <v>30</v>
      </c>
      <c r="E5" s="7" t="n">
        <v>1170</v>
      </c>
      <c r="F5" s="6" t="s">
        <v>18</v>
      </c>
      <c r="G5" s="6" t="n">
        <v>17</v>
      </c>
      <c r="H5" s="8" t="n">
        <v>3.7</v>
      </c>
      <c r="I5" s="9" t="n">
        <v>62</v>
      </c>
      <c r="J5" s="6" t="n">
        <v>13</v>
      </c>
      <c r="K5" s="6" t="n">
        <v>6</v>
      </c>
      <c r="L5" s="6" t="s">
        <v>19</v>
      </c>
      <c r="M5" s="6" t="n">
        <v>3</v>
      </c>
      <c r="N5" s="6" t="s">
        <v>20</v>
      </c>
    </row>
    <row r="6" customFormat="false" ht="15" hidden="false" customHeight="false" outlineLevel="0" collapsed="false">
      <c r="A6" s="2" t="s">
        <v>14</v>
      </c>
      <c r="B6" s="2" t="s">
        <v>31</v>
      </c>
      <c r="C6" s="2" t="s">
        <v>32</v>
      </c>
      <c r="D6" s="2" t="s">
        <v>17</v>
      </c>
      <c r="E6" s="3" t="n">
        <v>1302</v>
      </c>
      <c r="F6" s="2" t="s">
        <v>24</v>
      </c>
      <c r="G6" s="2" t="n">
        <v>18</v>
      </c>
      <c r="H6" s="4" t="n">
        <v>3.5</v>
      </c>
      <c r="I6" s="5" t="n">
        <v>64</v>
      </c>
      <c r="J6" s="2" t="n">
        <v>10</v>
      </c>
      <c r="K6" s="2" t="n">
        <v>5</v>
      </c>
      <c r="L6" s="2" t="s">
        <v>33</v>
      </c>
      <c r="M6" s="2" t="n">
        <v>6</v>
      </c>
      <c r="N6" s="2" t="s">
        <v>20</v>
      </c>
    </row>
    <row r="7" customFormat="false" ht="15" hidden="false" customHeight="false" outlineLevel="0" collapsed="false">
      <c r="A7" s="6" t="s">
        <v>14</v>
      </c>
      <c r="B7" s="6" t="s">
        <v>34</v>
      </c>
      <c r="C7" s="6" t="s">
        <v>35</v>
      </c>
      <c r="D7" s="6" t="s">
        <v>27</v>
      </c>
      <c r="E7" s="7" t="n">
        <v>1262</v>
      </c>
      <c r="F7" s="6" t="s">
        <v>18</v>
      </c>
      <c r="G7" s="6" t="n">
        <v>17</v>
      </c>
      <c r="H7" s="8" t="n">
        <v>3.6</v>
      </c>
      <c r="I7" s="9" t="n">
        <v>65</v>
      </c>
      <c r="J7" s="6" t="n">
        <v>10</v>
      </c>
      <c r="K7" s="6" t="n">
        <v>5</v>
      </c>
      <c r="L7" s="6" t="s">
        <v>19</v>
      </c>
      <c r="M7" s="6" t="n">
        <v>4</v>
      </c>
      <c r="N7" s="6" t="s">
        <v>36</v>
      </c>
    </row>
    <row r="8" customFormat="false" ht="15" hidden="false" customHeight="false" outlineLevel="0" collapsed="false">
      <c r="A8" s="2" t="s">
        <v>14</v>
      </c>
      <c r="B8" s="2" t="s">
        <v>37</v>
      </c>
      <c r="C8" s="2" t="s">
        <v>38</v>
      </c>
      <c r="D8" s="2" t="s">
        <v>23</v>
      </c>
      <c r="E8" s="3" t="n">
        <v>1484</v>
      </c>
      <c r="F8" s="2" t="s">
        <v>18</v>
      </c>
      <c r="G8" s="2" t="n">
        <v>19</v>
      </c>
      <c r="H8" s="4" t="n">
        <v>3.7</v>
      </c>
      <c r="I8" s="5" t="n">
        <v>63</v>
      </c>
      <c r="J8" s="2" t="n">
        <v>14</v>
      </c>
      <c r="K8" s="2" t="n">
        <v>6</v>
      </c>
      <c r="L8" s="2" t="s">
        <v>19</v>
      </c>
      <c r="M8" s="2" t="n">
        <v>2</v>
      </c>
      <c r="N8" s="2" t="s">
        <v>20</v>
      </c>
    </row>
    <row r="9" customFormat="false" ht="15" hidden="false" customHeight="false" outlineLevel="0" collapsed="false">
      <c r="A9" s="6" t="s">
        <v>14</v>
      </c>
      <c r="B9" s="6" t="s">
        <v>39</v>
      </c>
      <c r="C9" s="6" t="s">
        <v>40</v>
      </c>
      <c r="D9" s="6" t="s">
        <v>30</v>
      </c>
      <c r="E9" s="7" t="n">
        <v>1547</v>
      </c>
      <c r="F9" s="6" t="s">
        <v>41</v>
      </c>
      <c r="G9" s="6" t="n">
        <v>18</v>
      </c>
      <c r="H9" s="8" t="n">
        <v>3.7</v>
      </c>
      <c r="I9" s="9" t="n">
        <v>67</v>
      </c>
      <c r="J9" s="6" t="n">
        <v>11</v>
      </c>
      <c r="K9" s="6" t="n">
        <v>4</v>
      </c>
      <c r="L9" s="6" t="s">
        <v>33</v>
      </c>
      <c r="M9" s="6" t="n">
        <v>5</v>
      </c>
      <c r="N9" s="6" t="s">
        <v>20</v>
      </c>
    </row>
    <row r="10" customFormat="false" ht="15" hidden="false" customHeight="false" outlineLevel="0" collapsed="false">
      <c r="A10" s="2" t="s">
        <v>42</v>
      </c>
      <c r="B10" s="2" t="s">
        <v>15</v>
      </c>
      <c r="C10" s="2" t="s">
        <v>16</v>
      </c>
      <c r="D10" s="2" t="s">
        <v>17</v>
      </c>
      <c r="E10" s="3" t="n">
        <v>970</v>
      </c>
      <c r="F10" s="2" t="s">
        <v>18</v>
      </c>
      <c r="G10" s="2" t="n">
        <v>17</v>
      </c>
      <c r="H10" s="4" t="n">
        <v>3.6</v>
      </c>
      <c r="I10" s="5" t="n">
        <v>67</v>
      </c>
      <c r="J10" s="2" t="n">
        <v>13</v>
      </c>
      <c r="K10" s="2" t="n">
        <v>7</v>
      </c>
      <c r="L10" s="2" t="s">
        <v>19</v>
      </c>
      <c r="M10" s="2" t="n">
        <v>2</v>
      </c>
      <c r="N10" s="2" t="s">
        <v>20</v>
      </c>
    </row>
    <row r="11" customFormat="false" ht="15" hidden="false" customHeight="false" outlineLevel="0" collapsed="false">
      <c r="A11" s="6" t="s">
        <v>42</v>
      </c>
      <c r="B11" s="6" t="s">
        <v>21</v>
      </c>
      <c r="C11" s="6" t="s">
        <v>22</v>
      </c>
      <c r="D11" s="6" t="s">
        <v>23</v>
      </c>
      <c r="E11" s="7" t="n">
        <v>1082</v>
      </c>
      <c r="F11" s="6" t="s">
        <v>24</v>
      </c>
      <c r="G11" s="6" t="n">
        <v>16</v>
      </c>
      <c r="H11" s="8" t="n">
        <v>3.7</v>
      </c>
      <c r="I11" s="9" t="n">
        <v>66</v>
      </c>
      <c r="J11" s="6" t="n">
        <v>13</v>
      </c>
      <c r="K11" s="6" t="n">
        <v>6</v>
      </c>
      <c r="L11" s="6" t="s">
        <v>19</v>
      </c>
      <c r="M11" s="6" t="n">
        <v>6</v>
      </c>
      <c r="N11" s="6" t="s">
        <v>20</v>
      </c>
    </row>
    <row r="12" customFormat="false" ht="15" hidden="false" customHeight="false" outlineLevel="0" collapsed="false">
      <c r="A12" s="2" t="s">
        <v>42</v>
      </c>
      <c r="B12" s="2" t="s">
        <v>25</v>
      </c>
      <c r="C12" s="2" t="s">
        <v>26</v>
      </c>
      <c r="D12" s="2" t="s">
        <v>27</v>
      </c>
      <c r="E12" s="3" t="n">
        <v>1125</v>
      </c>
      <c r="F12" s="2" t="s">
        <v>18</v>
      </c>
      <c r="G12" s="2" t="n">
        <v>17</v>
      </c>
      <c r="H12" s="4" t="n">
        <v>3.8</v>
      </c>
      <c r="I12" s="5" t="n">
        <v>71</v>
      </c>
      <c r="J12" s="2" t="n">
        <v>12</v>
      </c>
      <c r="K12" s="2" t="n">
        <v>5</v>
      </c>
      <c r="L12" s="2" t="s">
        <v>19</v>
      </c>
      <c r="M12" s="2" t="n">
        <v>4</v>
      </c>
      <c r="N12" s="2" t="s">
        <v>20</v>
      </c>
    </row>
    <row r="13" customFormat="false" ht="15" hidden="false" customHeight="false" outlineLevel="0" collapsed="false">
      <c r="A13" s="6" t="s">
        <v>42</v>
      </c>
      <c r="B13" s="6" t="s">
        <v>28</v>
      </c>
      <c r="C13" s="6" t="s">
        <v>29</v>
      </c>
      <c r="D13" s="6" t="s">
        <v>30</v>
      </c>
      <c r="E13" s="7" t="n">
        <v>1271</v>
      </c>
      <c r="F13" s="6" t="s">
        <v>18</v>
      </c>
      <c r="G13" s="6" t="n">
        <v>16</v>
      </c>
      <c r="H13" s="8" t="n">
        <v>3.6</v>
      </c>
      <c r="I13" s="9" t="n">
        <v>69</v>
      </c>
      <c r="J13" s="6" t="n">
        <v>14</v>
      </c>
      <c r="K13" s="6" t="n">
        <v>6</v>
      </c>
      <c r="L13" s="6" t="s">
        <v>19</v>
      </c>
      <c r="M13" s="6" t="n">
        <v>5</v>
      </c>
      <c r="N13" s="6" t="s">
        <v>20</v>
      </c>
    </row>
    <row r="14" customFormat="false" ht="15" hidden="false" customHeight="false" outlineLevel="0" collapsed="false">
      <c r="A14" s="2" t="s">
        <v>42</v>
      </c>
      <c r="B14" s="2" t="s">
        <v>31</v>
      </c>
      <c r="C14" s="2" t="s">
        <v>32</v>
      </c>
      <c r="D14" s="2" t="s">
        <v>17</v>
      </c>
      <c r="E14" s="3" t="n">
        <v>1492</v>
      </c>
      <c r="F14" s="2" t="s">
        <v>24</v>
      </c>
      <c r="G14" s="2" t="n">
        <v>18</v>
      </c>
      <c r="H14" s="4" t="n">
        <v>3.7</v>
      </c>
      <c r="I14" s="5" t="n">
        <v>67</v>
      </c>
      <c r="J14" s="2" t="n">
        <v>13</v>
      </c>
      <c r="K14" s="2" t="n">
        <v>5</v>
      </c>
      <c r="L14" s="2" t="s">
        <v>33</v>
      </c>
      <c r="M14" s="2" t="n">
        <v>6</v>
      </c>
      <c r="N14" s="2" t="s">
        <v>20</v>
      </c>
    </row>
    <row r="15" customFormat="false" ht="15" hidden="false" customHeight="false" outlineLevel="0" collapsed="false">
      <c r="A15" s="6" t="s">
        <v>42</v>
      </c>
      <c r="B15" s="6" t="s">
        <v>34</v>
      </c>
      <c r="C15" s="6" t="s">
        <v>35</v>
      </c>
      <c r="D15" s="6" t="s">
        <v>27</v>
      </c>
      <c r="E15" s="7" t="n">
        <v>1462</v>
      </c>
      <c r="F15" s="6" t="s">
        <v>18</v>
      </c>
      <c r="G15" s="6" t="n">
        <v>18</v>
      </c>
      <c r="H15" s="8" t="n">
        <v>3.7</v>
      </c>
      <c r="I15" s="9" t="n">
        <v>69</v>
      </c>
      <c r="J15" s="6" t="n">
        <v>15</v>
      </c>
      <c r="K15" s="6" t="n">
        <v>7</v>
      </c>
      <c r="L15" s="6" t="s">
        <v>19</v>
      </c>
      <c r="M15" s="6" t="n">
        <v>3</v>
      </c>
      <c r="N15" s="6" t="s">
        <v>20</v>
      </c>
    </row>
    <row r="16" customFormat="false" ht="15" hidden="false" customHeight="false" outlineLevel="0" collapsed="false">
      <c r="A16" s="2" t="s">
        <v>42</v>
      </c>
      <c r="B16" s="2" t="s">
        <v>37</v>
      </c>
      <c r="C16" s="2" t="s">
        <v>38</v>
      </c>
      <c r="D16" s="2" t="s">
        <v>23</v>
      </c>
      <c r="E16" s="3" t="n">
        <v>1636</v>
      </c>
      <c r="F16" s="2" t="s">
        <v>18</v>
      </c>
      <c r="G16" s="2" t="n">
        <v>16</v>
      </c>
      <c r="H16" s="4" t="n">
        <v>3.8</v>
      </c>
      <c r="I16" s="5" t="n">
        <v>71</v>
      </c>
      <c r="J16" s="2" t="n">
        <v>12</v>
      </c>
      <c r="K16" s="2" t="n">
        <v>5</v>
      </c>
      <c r="L16" s="2" t="s">
        <v>19</v>
      </c>
      <c r="M16" s="2" t="n">
        <v>5</v>
      </c>
      <c r="N16" s="2" t="s">
        <v>20</v>
      </c>
    </row>
    <row r="17" customFormat="false" ht="15" hidden="false" customHeight="false" outlineLevel="0" collapsed="false">
      <c r="A17" s="6" t="s">
        <v>42</v>
      </c>
      <c r="B17" s="6" t="s">
        <v>39</v>
      </c>
      <c r="C17" s="6" t="s">
        <v>40</v>
      </c>
      <c r="D17" s="6" t="s">
        <v>30</v>
      </c>
      <c r="E17" s="7" t="n">
        <v>1774</v>
      </c>
      <c r="F17" s="6" t="s">
        <v>41</v>
      </c>
      <c r="G17" s="6" t="n">
        <v>17</v>
      </c>
      <c r="H17" s="8" t="n">
        <v>3.7</v>
      </c>
      <c r="I17" s="9" t="n">
        <v>68</v>
      </c>
      <c r="J17" s="6" t="n">
        <v>16</v>
      </c>
      <c r="K17" s="6" t="n">
        <v>8</v>
      </c>
      <c r="L17" s="6" t="s">
        <v>33</v>
      </c>
      <c r="M17" s="6" t="n">
        <v>2</v>
      </c>
      <c r="N17" s="6" t="s">
        <v>20</v>
      </c>
    </row>
    <row r="18" customFormat="false" ht="15" hidden="false" customHeight="false" outlineLevel="0" collapsed="false">
      <c r="A18" s="2" t="s">
        <v>43</v>
      </c>
      <c r="B18" s="2" t="s">
        <v>15</v>
      </c>
      <c r="C18" s="2" t="s">
        <v>16</v>
      </c>
      <c r="D18" s="2" t="s">
        <v>17</v>
      </c>
      <c r="E18" s="3" t="n">
        <v>1131</v>
      </c>
      <c r="F18" s="2" t="s">
        <v>18</v>
      </c>
      <c r="G18" s="2" t="n">
        <v>15</v>
      </c>
      <c r="H18" s="4" t="n">
        <v>3.8</v>
      </c>
      <c r="I18" s="5" t="n">
        <v>72</v>
      </c>
      <c r="J18" s="2" t="n">
        <v>15</v>
      </c>
      <c r="K18" s="2" t="n">
        <v>8</v>
      </c>
      <c r="L18" s="2" t="s">
        <v>19</v>
      </c>
      <c r="M18" s="2" t="n">
        <v>4</v>
      </c>
      <c r="N18" s="2" t="s">
        <v>20</v>
      </c>
    </row>
    <row r="19" customFormat="false" ht="15" hidden="false" customHeight="false" outlineLevel="0" collapsed="false">
      <c r="A19" s="6" t="s">
        <v>43</v>
      </c>
      <c r="B19" s="6" t="s">
        <v>21</v>
      </c>
      <c r="C19" s="6" t="s">
        <v>22</v>
      </c>
      <c r="D19" s="6" t="s">
        <v>23</v>
      </c>
      <c r="E19" s="7" t="n">
        <v>1219</v>
      </c>
      <c r="F19" s="6" t="s">
        <v>24</v>
      </c>
      <c r="G19" s="6" t="n">
        <v>16</v>
      </c>
      <c r="H19" s="8" t="n">
        <v>3.7</v>
      </c>
      <c r="I19" s="9" t="n">
        <v>73</v>
      </c>
      <c r="J19" s="6" t="n">
        <v>15</v>
      </c>
      <c r="K19" s="6" t="n">
        <v>8</v>
      </c>
      <c r="L19" s="6" t="s">
        <v>19</v>
      </c>
      <c r="M19" s="6" t="n">
        <v>6</v>
      </c>
      <c r="N19" s="6" t="s">
        <v>20</v>
      </c>
    </row>
    <row r="20" customFormat="false" ht="15" hidden="false" customHeight="false" outlineLevel="0" collapsed="false">
      <c r="A20" s="2" t="s">
        <v>43</v>
      </c>
      <c r="B20" s="2" t="s">
        <v>25</v>
      </c>
      <c r="C20" s="2" t="s">
        <v>26</v>
      </c>
      <c r="D20" s="2" t="s">
        <v>27</v>
      </c>
      <c r="E20" s="3" t="n">
        <v>1454</v>
      </c>
      <c r="F20" s="2" t="s">
        <v>18</v>
      </c>
      <c r="G20" s="2" t="n">
        <v>17</v>
      </c>
      <c r="H20" s="4" t="n">
        <v>3.8</v>
      </c>
      <c r="I20" s="5" t="n">
        <v>73</v>
      </c>
      <c r="J20" s="2" t="n">
        <v>17</v>
      </c>
      <c r="K20" s="2" t="n">
        <v>9</v>
      </c>
      <c r="L20" s="2" t="s">
        <v>19</v>
      </c>
      <c r="M20" s="2" t="n">
        <v>4</v>
      </c>
      <c r="N20" s="2" t="s">
        <v>20</v>
      </c>
    </row>
    <row r="21" customFormat="false" ht="15" hidden="false" customHeight="false" outlineLevel="0" collapsed="false">
      <c r="A21" s="6" t="s">
        <v>43</v>
      </c>
      <c r="B21" s="6" t="s">
        <v>28</v>
      </c>
      <c r="C21" s="6" t="s">
        <v>29</v>
      </c>
      <c r="D21" s="6" t="s">
        <v>30</v>
      </c>
      <c r="E21" s="7" t="n">
        <v>1558</v>
      </c>
      <c r="F21" s="6" t="s">
        <v>18</v>
      </c>
      <c r="G21" s="6" t="n">
        <v>17</v>
      </c>
      <c r="H21" s="8" t="n">
        <v>3.9</v>
      </c>
      <c r="I21" s="9" t="n">
        <v>72</v>
      </c>
      <c r="J21" s="6" t="n">
        <v>13</v>
      </c>
      <c r="K21" s="6" t="n">
        <v>7</v>
      </c>
      <c r="L21" s="6" t="s">
        <v>19</v>
      </c>
      <c r="M21" s="6" t="n">
        <v>2</v>
      </c>
      <c r="N21" s="6" t="s">
        <v>20</v>
      </c>
    </row>
    <row r="22" customFormat="false" ht="15" hidden="false" customHeight="false" outlineLevel="0" collapsed="false">
      <c r="A22" s="2" t="s">
        <v>43</v>
      </c>
      <c r="B22" s="2" t="s">
        <v>31</v>
      </c>
      <c r="C22" s="2" t="s">
        <v>32</v>
      </c>
      <c r="D22" s="2" t="s">
        <v>17</v>
      </c>
      <c r="E22" s="3" t="n">
        <v>1526</v>
      </c>
      <c r="F22" s="2" t="s">
        <v>24</v>
      </c>
      <c r="G22" s="2" t="n">
        <v>16</v>
      </c>
      <c r="H22" s="4" t="n">
        <v>3.9</v>
      </c>
      <c r="I22" s="5" t="n">
        <v>74</v>
      </c>
      <c r="J22" s="2" t="n">
        <v>15</v>
      </c>
      <c r="K22" s="2" t="n">
        <v>6</v>
      </c>
      <c r="L22" s="2" t="s">
        <v>33</v>
      </c>
      <c r="M22" s="2" t="n">
        <v>6</v>
      </c>
      <c r="N22" s="2" t="s">
        <v>36</v>
      </c>
    </row>
    <row r="23" customFormat="false" ht="15" hidden="false" customHeight="false" outlineLevel="0" collapsed="false">
      <c r="A23" s="6" t="s">
        <v>43</v>
      </c>
      <c r="B23" s="6" t="s">
        <v>34</v>
      </c>
      <c r="C23" s="6" t="s">
        <v>35</v>
      </c>
      <c r="D23" s="6" t="s">
        <v>27</v>
      </c>
      <c r="E23" s="7" t="n">
        <v>1885</v>
      </c>
      <c r="F23" s="6" t="s">
        <v>18</v>
      </c>
      <c r="G23" s="6" t="n">
        <v>15</v>
      </c>
      <c r="H23" s="8" t="n">
        <v>3.8</v>
      </c>
      <c r="I23" s="9" t="n">
        <v>74</v>
      </c>
      <c r="J23" s="6" t="n">
        <v>13</v>
      </c>
      <c r="K23" s="6" t="n">
        <v>7</v>
      </c>
      <c r="L23" s="6" t="s">
        <v>19</v>
      </c>
      <c r="M23" s="6" t="n">
        <v>3</v>
      </c>
      <c r="N23" s="6" t="s">
        <v>20</v>
      </c>
    </row>
    <row r="24" customFormat="false" ht="15" hidden="false" customHeight="false" outlineLevel="0" collapsed="false">
      <c r="A24" s="2" t="s">
        <v>43</v>
      </c>
      <c r="B24" s="2" t="s">
        <v>37</v>
      </c>
      <c r="C24" s="2" t="s">
        <v>38</v>
      </c>
      <c r="D24" s="2" t="s">
        <v>23</v>
      </c>
      <c r="E24" s="3" t="n">
        <v>1940</v>
      </c>
      <c r="F24" s="2" t="s">
        <v>18</v>
      </c>
      <c r="G24" s="2" t="n">
        <v>17</v>
      </c>
      <c r="H24" s="4" t="n">
        <v>3.7</v>
      </c>
      <c r="I24" s="5" t="n">
        <v>72</v>
      </c>
      <c r="J24" s="2" t="n">
        <v>17</v>
      </c>
      <c r="K24" s="2" t="n">
        <v>8</v>
      </c>
      <c r="L24" s="2" t="s">
        <v>19</v>
      </c>
      <c r="M24" s="2" t="n">
        <v>6</v>
      </c>
      <c r="N24" s="2" t="s">
        <v>20</v>
      </c>
    </row>
    <row r="25" customFormat="false" ht="15" hidden="false" customHeight="false" outlineLevel="0" collapsed="false">
      <c r="A25" s="6" t="s">
        <v>43</v>
      </c>
      <c r="B25" s="6" t="s">
        <v>39</v>
      </c>
      <c r="C25" s="6" t="s">
        <v>40</v>
      </c>
      <c r="D25" s="6" t="s">
        <v>30</v>
      </c>
      <c r="E25" s="7" t="n">
        <v>2106</v>
      </c>
      <c r="F25" s="6" t="s">
        <v>41</v>
      </c>
      <c r="G25" s="6" t="n">
        <v>17</v>
      </c>
      <c r="H25" s="8" t="n">
        <v>3.7</v>
      </c>
      <c r="I25" s="9" t="n">
        <v>70</v>
      </c>
      <c r="J25" s="6" t="n">
        <v>16</v>
      </c>
      <c r="K25" s="6" t="n">
        <v>9</v>
      </c>
      <c r="L25" s="6" t="s">
        <v>33</v>
      </c>
      <c r="M25" s="6" t="n">
        <v>5</v>
      </c>
      <c r="N25" s="6" t="s">
        <v>20</v>
      </c>
    </row>
    <row r="26" customFormat="false" ht="15" hidden="false" customHeight="false" outlineLevel="0" collapsed="false">
      <c r="A26" s="2" t="s">
        <v>44</v>
      </c>
      <c r="B26" s="2" t="s">
        <v>15</v>
      </c>
      <c r="C26" s="2" t="s">
        <v>16</v>
      </c>
      <c r="D26" s="2" t="s">
        <v>17</v>
      </c>
      <c r="E26" s="3" t="n">
        <v>1308</v>
      </c>
      <c r="F26" s="2" t="s">
        <v>18</v>
      </c>
      <c r="G26" s="2" t="n">
        <v>15</v>
      </c>
      <c r="H26" s="4" t="n">
        <v>3.8</v>
      </c>
      <c r="I26" s="5" t="n">
        <v>72</v>
      </c>
      <c r="J26" s="2" t="n">
        <v>15</v>
      </c>
      <c r="K26" s="2" t="n">
        <v>7</v>
      </c>
      <c r="L26" s="2" t="s">
        <v>19</v>
      </c>
      <c r="M26" s="2" t="n">
        <v>6</v>
      </c>
      <c r="N26" s="2" t="s">
        <v>36</v>
      </c>
    </row>
    <row r="27" customFormat="false" ht="15" hidden="false" customHeight="false" outlineLevel="0" collapsed="false">
      <c r="A27" s="6" t="s">
        <v>44</v>
      </c>
      <c r="B27" s="6" t="s">
        <v>21</v>
      </c>
      <c r="C27" s="6" t="s">
        <v>22</v>
      </c>
      <c r="D27" s="6" t="s">
        <v>23</v>
      </c>
      <c r="E27" s="7" t="n">
        <v>1318</v>
      </c>
      <c r="F27" s="6" t="s">
        <v>24</v>
      </c>
      <c r="G27" s="6" t="n">
        <v>14</v>
      </c>
      <c r="H27" s="8" t="n">
        <v>3.8</v>
      </c>
      <c r="I27" s="9" t="n">
        <v>76</v>
      </c>
      <c r="J27" s="6" t="n">
        <v>15</v>
      </c>
      <c r="K27" s="6" t="n">
        <v>6</v>
      </c>
      <c r="L27" s="6" t="s">
        <v>19</v>
      </c>
      <c r="M27" s="6" t="n">
        <v>2</v>
      </c>
      <c r="N27" s="6" t="s">
        <v>36</v>
      </c>
    </row>
    <row r="28" customFormat="false" ht="15" hidden="false" customHeight="false" outlineLevel="0" collapsed="false">
      <c r="A28" s="2" t="s">
        <v>44</v>
      </c>
      <c r="B28" s="2" t="s">
        <v>25</v>
      </c>
      <c r="C28" s="2" t="s">
        <v>26</v>
      </c>
      <c r="D28" s="2" t="s">
        <v>27</v>
      </c>
      <c r="E28" s="3" t="n">
        <v>1612</v>
      </c>
      <c r="F28" s="2" t="s">
        <v>18</v>
      </c>
      <c r="G28" s="2" t="n">
        <v>14</v>
      </c>
      <c r="H28" s="4" t="n">
        <v>3.9</v>
      </c>
      <c r="I28" s="5" t="n">
        <v>73</v>
      </c>
      <c r="J28" s="2" t="n">
        <v>18</v>
      </c>
      <c r="K28" s="2" t="n">
        <v>8</v>
      </c>
      <c r="L28" s="2" t="s">
        <v>19</v>
      </c>
      <c r="M28" s="2" t="n">
        <v>6</v>
      </c>
      <c r="N28" s="2" t="s">
        <v>20</v>
      </c>
    </row>
    <row r="29" customFormat="false" ht="15" hidden="false" customHeight="false" outlineLevel="0" collapsed="false">
      <c r="A29" s="6" t="s">
        <v>44</v>
      </c>
      <c r="B29" s="6" t="s">
        <v>28</v>
      </c>
      <c r="C29" s="6" t="s">
        <v>29</v>
      </c>
      <c r="D29" s="6" t="s">
        <v>30</v>
      </c>
      <c r="E29" s="7" t="n">
        <v>1693</v>
      </c>
      <c r="F29" s="6" t="s">
        <v>18</v>
      </c>
      <c r="G29" s="6" t="n">
        <v>14</v>
      </c>
      <c r="H29" s="8" t="n">
        <v>4</v>
      </c>
      <c r="I29" s="9" t="n">
        <v>77</v>
      </c>
      <c r="J29" s="6" t="n">
        <v>18</v>
      </c>
      <c r="K29" s="6" t="n">
        <v>8</v>
      </c>
      <c r="L29" s="6" t="s">
        <v>19</v>
      </c>
      <c r="M29" s="6" t="n">
        <v>5</v>
      </c>
      <c r="N29" s="6" t="s">
        <v>36</v>
      </c>
    </row>
    <row r="30" customFormat="false" ht="15" hidden="false" customHeight="false" outlineLevel="0" collapsed="false">
      <c r="A30" s="2" t="s">
        <v>44</v>
      </c>
      <c r="B30" s="2" t="s">
        <v>31</v>
      </c>
      <c r="C30" s="2" t="s">
        <v>32</v>
      </c>
      <c r="D30" s="2" t="s">
        <v>17</v>
      </c>
      <c r="E30" s="3" t="n">
        <v>1777</v>
      </c>
      <c r="F30" s="2" t="s">
        <v>24</v>
      </c>
      <c r="G30" s="2" t="n">
        <v>15</v>
      </c>
      <c r="H30" s="4" t="n">
        <v>3.9</v>
      </c>
      <c r="I30" s="5" t="n">
        <v>76</v>
      </c>
      <c r="J30" s="2" t="n">
        <v>15</v>
      </c>
      <c r="K30" s="2" t="n">
        <v>8</v>
      </c>
      <c r="L30" s="2" t="s">
        <v>33</v>
      </c>
      <c r="M30" s="2" t="n">
        <v>2</v>
      </c>
      <c r="N30" s="2" t="s">
        <v>20</v>
      </c>
    </row>
    <row r="31" customFormat="false" ht="15" hidden="false" customHeight="false" outlineLevel="0" collapsed="false">
      <c r="A31" s="6" t="s">
        <v>44</v>
      </c>
      <c r="B31" s="6" t="s">
        <v>34</v>
      </c>
      <c r="C31" s="6" t="s">
        <v>35</v>
      </c>
      <c r="D31" s="6" t="s">
        <v>27</v>
      </c>
      <c r="E31" s="7" t="n">
        <v>1829</v>
      </c>
      <c r="F31" s="6" t="s">
        <v>18</v>
      </c>
      <c r="G31" s="6" t="n">
        <v>16</v>
      </c>
      <c r="H31" s="8" t="n">
        <v>3.9</v>
      </c>
      <c r="I31" s="9" t="n">
        <v>77</v>
      </c>
      <c r="J31" s="6" t="n">
        <v>15</v>
      </c>
      <c r="K31" s="6" t="n">
        <v>6</v>
      </c>
      <c r="L31" s="6" t="s">
        <v>19</v>
      </c>
      <c r="M31" s="6" t="n">
        <v>6</v>
      </c>
      <c r="N31" s="6" t="s">
        <v>20</v>
      </c>
    </row>
    <row r="32" customFormat="false" ht="15" hidden="false" customHeight="false" outlineLevel="0" collapsed="false">
      <c r="A32" s="2" t="s">
        <v>44</v>
      </c>
      <c r="B32" s="2" t="s">
        <v>37</v>
      </c>
      <c r="C32" s="2" t="s">
        <v>38</v>
      </c>
      <c r="D32" s="2" t="s">
        <v>23</v>
      </c>
      <c r="E32" s="3" t="n">
        <v>2098</v>
      </c>
      <c r="F32" s="2" t="s">
        <v>18</v>
      </c>
      <c r="G32" s="2" t="n">
        <v>15</v>
      </c>
      <c r="H32" s="4" t="n">
        <v>3.8</v>
      </c>
      <c r="I32" s="5" t="n">
        <v>74</v>
      </c>
      <c r="J32" s="2" t="n">
        <v>16</v>
      </c>
      <c r="K32" s="2" t="n">
        <v>7</v>
      </c>
      <c r="L32" s="2" t="s">
        <v>19</v>
      </c>
      <c r="M32" s="2" t="n">
        <v>6</v>
      </c>
      <c r="N32" s="2" t="s">
        <v>20</v>
      </c>
    </row>
    <row r="33" customFormat="false" ht="15" hidden="false" customHeight="false" outlineLevel="0" collapsed="false">
      <c r="A33" s="6" t="s">
        <v>44</v>
      </c>
      <c r="B33" s="6" t="s">
        <v>39</v>
      </c>
      <c r="C33" s="6" t="s">
        <v>40</v>
      </c>
      <c r="D33" s="6" t="s">
        <v>30</v>
      </c>
      <c r="E33" s="7" t="n">
        <v>2117</v>
      </c>
      <c r="F33" s="6" t="s">
        <v>41</v>
      </c>
      <c r="G33" s="6" t="n">
        <v>16</v>
      </c>
      <c r="H33" s="8" t="n">
        <v>4</v>
      </c>
      <c r="I33" s="9" t="n">
        <v>77</v>
      </c>
      <c r="J33" s="6" t="n">
        <v>15</v>
      </c>
      <c r="K33" s="6" t="n">
        <v>6</v>
      </c>
      <c r="L33" s="6" t="s">
        <v>33</v>
      </c>
      <c r="M33" s="6" t="n">
        <v>3</v>
      </c>
      <c r="N33" s="6" t="s">
        <v>20</v>
      </c>
    </row>
    <row r="34" customFormat="false" ht="15" hidden="false" customHeight="false" outlineLevel="0" collapsed="false">
      <c r="A34" s="2" t="s">
        <v>45</v>
      </c>
      <c r="B34" s="2" t="s">
        <v>15</v>
      </c>
      <c r="C34" s="2" t="s">
        <v>16</v>
      </c>
      <c r="D34" s="2" t="s">
        <v>17</v>
      </c>
      <c r="E34" s="3" t="n">
        <v>1325</v>
      </c>
      <c r="F34" s="2" t="s">
        <v>18</v>
      </c>
      <c r="G34" s="2" t="n">
        <v>14</v>
      </c>
      <c r="H34" s="4" t="n">
        <v>4</v>
      </c>
      <c r="I34" s="5" t="n">
        <v>81</v>
      </c>
      <c r="J34" s="2" t="n">
        <v>19</v>
      </c>
      <c r="K34" s="2" t="n">
        <v>8</v>
      </c>
      <c r="L34" s="2" t="s">
        <v>19</v>
      </c>
      <c r="M34" s="2" t="n">
        <v>2</v>
      </c>
      <c r="N34" s="2" t="s">
        <v>20</v>
      </c>
    </row>
    <row r="35" customFormat="false" ht="15" hidden="false" customHeight="false" outlineLevel="0" collapsed="false">
      <c r="A35" s="6" t="s">
        <v>45</v>
      </c>
      <c r="B35" s="6" t="s">
        <v>21</v>
      </c>
      <c r="C35" s="6" t="s">
        <v>22</v>
      </c>
      <c r="D35" s="6" t="s">
        <v>23</v>
      </c>
      <c r="E35" s="7" t="n">
        <v>1689</v>
      </c>
      <c r="F35" s="6" t="s">
        <v>24</v>
      </c>
      <c r="G35" s="6" t="n">
        <v>14</v>
      </c>
      <c r="H35" s="8" t="n">
        <v>4.1</v>
      </c>
      <c r="I35" s="9" t="n">
        <v>81</v>
      </c>
      <c r="J35" s="6" t="n">
        <v>19</v>
      </c>
      <c r="K35" s="6" t="n">
        <v>9</v>
      </c>
      <c r="L35" s="6" t="s">
        <v>19</v>
      </c>
      <c r="M35" s="6" t="n">
        <v>6</v>
      </c>
      <c r="N35" s="6" t="s">
        <v>20</v>
      </c>
    </row>
    <row r="36" customFormat="false" ht="15" hidden="false" customHeight="false" outlineLevel="0" collapsed="false">
      <c r="A36" s="2" t="s">
        <v>45</v>
      </c>
      <c r="B36" s="2" t="s">
        <v>25</v>
      </c>
      <c r="C36" s="2" t="s">
        <v>26</v>
      </c>
      <c r="D36" s="2" t="s">
        <v>27</v>
      </c>
      <c r="E36" s="3" t="n">
        <v>1780</v>
      </c>
      <c r="F36" s="2" t="s">
        <v>18</v>
      </c>
      <c r="G36" s="2" t="n">
        <v>14</v>
      </c>
      <c r="H36" s="4" t="n">
        <v>3.9</v>
      </c>
      <c r="I36" s="5" t="n">
        <v>77</v>
      </c>
      <c r="J36" s="2" t="n">
        <v>17</v>
      </c>
      <c r="K36" s="2" t="n">
        <v>7</v>
      </c>
      <c r="L36" s="2" t="s">
        <v>19</v>
      </c>
      <c r="M36" s="2" t="n">
        <v>6</v>
      </c>
      <c r="N36" s="2" t="s">
        <v>20</v>
      </c>
    </row>
    <row r="37" customFormat="false" ht="15" hidden="false" customHeight="false" outlineLevel="0" collapsed="false">
      <c r="A37" s="6" t="s">
        <v>45</v>
      </c>
      <c r="B37" s="6" t="s">
        <v>28</v>
      </c>
      <c r="C37" s="6" t="s">
        <v>29</v>
      </c>
      <c r="D37" s="6" t="s">
        <v>30</v>
      </c>
      <c r="E37" s="7" t="n">
        <v>1770</v>
      </c>
      <c r="F37" s="6" t="s">
        <v>18</v>
      </c>
      <c r="G37" s="6" t="n">
        <v>14</v>
      </c>
      <c r="H37" s="8" t="n">
        <v>3.9</v>
      </c>
      <c r="I37" s="9" t="n">
        <v>79</v>
      </c>
      <c r="J37" s="6" t="n">
        <v>19</v>
      </c>
      <c r="K37" s="6" t="n">
        <v>10</v>
      </c>
      <c r="L37" s="6" t="s">
        <v>19</v>
      </c>
      <c r="M37" s="6" t="n">
        <v>6</v>
      </c>
      <c r="N37" s="6" t="s">
        <v>20</v>
      </c>
    </row>
    <row r="38" customFormat="false" ht="15" hidden="false" customHeight="false" outlineLevel="0" collapsed="false">
      <c r="A38" s="2" t="s">
        <v>45</v>
      </c>
      <c r="B38" s="2" t="s">
        <v>31</v>
      </c>
      <c r="C38" s="2" t="s">
        <v>32</v>
      </c>
      <c r="D38" s="2" t="s">
        <v>17</v>
      </c>
      <c r="E38" s="3" t="n">
        <v>1958</v>
      </c>
      <c r="F38" s="2" t="s">
        <v>24</v>
      </c>
      <c r="G38" s="2" t="n">
        <v>15</v>
      </c>
      <c r="H38" s="4" t="n">
        <v>3.9</v>
      </c>
      <c r="I38" s="5" t="n">
        <v>76</v>
      </c>
      <c r="J38" s="2" t="n">
        <v>16</v>
      </c>
      <c r="K38" s="2" t="n">
        <v>9</v>
      </c>
      <c r="L38" s="2" t="s">
        <v>33</v>
      </c>
      <c r="M38" s="2" t="n">
        <v>3</v>
      </c>
      <c r="N38" s="2" t="s">
        <v>36</v>
      </c>
    </row>
    <row r="39" customFormat="false" ht="15" hidden="false" customHeight="false" outlineLevel="0" collapsed="false">
      <c r="A39" s="6" t="s">
        <v>45</v>
      </c>
      <c r="B39" s="6" t="s">
        <v>34</v>
      </c>
      <c r="C39" s="6" t="s">
        <v>35</v>
      </c>
      <c r="D39" s="6" t="s">
        <v>27</v>
      </c>
      <c r="E39" s="7" t="n">
        <v>2205</v>
      </c>
      <c r="F39" s="6" t="s">
        <v>18</v>
      </c>
      <c r="G39" s="6" t="n">
        <v>15</v>
      </c>
      <c r="H39" s="8" t="n">
        <v>3.9</v>
      </c>
      <c r="I39" s="9" t="n">
        <v>79</v>
      </c>
      <c r="J39" s="6" t="n">
        <v>16</v>
      </c>
      <c r="K39" s="6" t="n">
        <v>9</v>
      </c>
      <c r="L39" s="6" t="s">
        <v>19</v>
      </c>
      <c r="M39" s="6" t="n">
        <v>6</v>
      </c>
      <c r="N39" s="6" t="s">
        <v>36</v>
      </c>
    </row>
    <row r="40" customFormat="false" ht="15" hidden="false" customHeight="false" outlineLevel="0" collapsed="false">
      <c r="A40" s="2" t="s">
        <v>45</v>
      </c>
      <c r="B40" s="2" t="s">
        <v>37</v>
      </c>
      <c r="C40" s="2" t="s">
        <v>38</v>
      </c>
      <c r="D40" s="2" t="s">
        <v>23</v>
      </c>
      <c r="E40" s="3" t="n">
        <v>2433</v>
      </c>
      <c r="F40" s="2" t="s">
        <v>18</v>
      </c>
      <c r="G40" s="2" t="n">
        <v>14</v>
      </c>
      <c r="H40" s="4" t="n">
        <v>4.1</v>
      </c>
      <c r="I40" s="5" t="n">
        <v>76</v>
      </c>
      <c r="J40" s="2" t="n">
        <v>18</v>
      </c>
      <c r="K40" s="2" t="n">
        <v>8</v>
      </c>
      <c r="L40" s="2" t="s">
        <v>19</v>
      </c>
      <c r="M40" s="2" t="n">
        <v>3</v>
      </c>
      <c r="N40" s="2" t="s">
        <v>20</v>
      </c>
    </row>
    <row r="41" customFormat="false" ht="15" hidden="false" customHeight="false" outlineLevel="0" collapsed="false">
      <c r="A41" s="6" t="s">
        <v>45</v>
      </c>
      <c r="B41" s="6" t="s">
        <v>39</v>
      </c>
      <c r="C41" s="6" t="s">
        <v>40</v>
      </c>
      <c r="D41" s="6" t="s">
        <v>30</v>
      </c>
      <c r="E41" s="7" t="n">
        <v>2646</v>
      </c>
      <c r="F41" s="6" t="s">
        <v>41</v>
      </c>
      <c r="G41" s="6" t="n">
        <v>14</v>
      </c>
      <c r="H41" s="8" t="n">
        <v>4</v>
      </c>
      <c r="I41" s="9" t="n">
        <v>81</v>
      </c>
      <c r="J41" s="6" t="n">
        <v>16</v>
      </c>
      <c r="K41" s="6" t="n">
        <v>7</v>
      </c>
      <c r="L41" s="6" t="s">
        <v>33</v>
      </c>
      <c r="M41" s="6" t="n">
        <v>6</v>
      </c>
      <c r="N41" s="6" t="s">
        <v>20</v>
      </c>
    </row>
    <row r="42" customFormat="false" ht="15" hidden="false" customHeight="false" outlineLevel="0" collapsed="false">
      <c r="A42" s="2" t="s">
        <v>46</v>
      </c>
      <c r="B42" s="2" t="s">
        <v>15</v>
      </c>
      <c r="C42" s="2" t="s">
        <v>16</v>
      </c>
      <c r="D42" s="2" t="s">
        <v>17</v>
      </c>
      <c r="E42" s="3" t="n">
        <v>1705</v>
      </c>
      <c r="F42" s="2" t="s">
        <v>18</v>
      </c>
      <c r="G42" s="2" t="n">
        <v>12</v>
      </c>
      <c r="H42" s="4" t="n">
        <v>4.1</v>
      </c>
      <c r="I42" s="5" t="n">
        <v>83</v>
      </c>
      <c r="J42" s="2" t="n">
        <v>20</v>
      </c>
      <c r="K42" s="2" t="n">
        <v>9</v>
      </c>
      <c r="L42" s="2" t="s">
        <v>19</v>
      </c>
      <c r="M42" s="2" t="n">
        <v>2</v>
      </c>
      <c r="N42" s="2" t="s">
        <v>20</v>
      </c>
    </row>
    <row r="43" customFormat="false" ht="15" hidden="false" customHeight="false" outlineLevel="0" collapsed="false">
      <c r="A43" s="6" t="s">
        <v>46</v>
      </c>
      <c r="B43" s="6" t="s">
        <v>21</v>
      </c>
      <c r="C43" s="6" t="s">
        <v>22</v>
      </c>
      <c r="D43" s="6" t="s">
        <v>23</v>
      </c>
      <c r="E43" s="7" t="n">
        <v>1876</v>
      </c>
      <c r="F43" s="6" t="s">
        <v>24</v>
      </c>
      <c r="G43" s="6" t="n">
        <v>13</v>
      </c>
      <c r="H43" s="8" t="n">
        <v>4.1</v>
      </c>
      <c r="I43" s="9" t="n">
        <v>82</v>
      </c>
      <c r="J43" s="6" t="n">
        <v>22</v>
      </c>
      <c r="K43" s="6" t="n">
        <v>12</v>
      </c>
      <c r="L43" s="6" t="s">
        <v>19</v>
      </c>
      <c r="M43" s="6" t="n">
        <v>6</v>
      </c>
      <c r="N43" s="6" t="s">
        <v>20</v>
      </c>
    </row>
    <row r="44" customFormat="false" ht="15" hidden="false" customHeight="false" outlineLevel="0" collapsed="false">
      <c r="A44" s="2" t="s">
        <v>46</v>
      </c>
      <c r="B44" s="2" t="s">
        <v>25</v>
      </c>
      <c r="C44" s="2" t="s">
        <v>26</v>
      </c>
      <c r="D44" s="2" t="s">
        <v>27</v>
      </c>
      <c r="E44" s="3" t="n">
        <v>1804</v>
      </c>
      <c r="F44" s="2" t="s">
        <v>18</v>
      </c>
      <c r="G44" s="2" t="n">
        <v>14</v>
      </c>
      <c r="H44" s="4" t="n">
        <v>4.1</v>
      </c>
      <c r="I44" s="5" t="n">
        <v>84</v>
      </c>
      <c r="J44" s="2" t="n">
        <v>18</v>
      </c>
      <c r="K44" s="2" t="n">
        <v>8</v>
      </c>
      <c r="L44" s="2" t="s">
        <v>19</v>
      </c>
      <c r="M44" s="2" t="n">
        <v>2</v>
      </c>
      <c r="N44" s="2" t="s">
        <v>20</v>
      </c>
    </row>
    <row r="45" customFormat="false" ht="15" hidden="false" customHeight="false" outlineLevel="0" collapsed="false">
      <c r="A45" s="6" t="s">
        <v>46</v>
      </c>
      <c r="B45" s="6" t="s">
        <v>28</v>
      </c>
      <c r="C45" s="6" t="s">
        <v>29</v>
      </c>
      <c r="D45" s="6" t="s">
        <v>30</v>
      </c>
      <c r="E45" s="7" t="n">
        <v>2232</v>
      </c>
      <c r="F45" s="6" t="s">
        <v>18</v>
      </c>
      <c r="G45" s="6" t="n">
        <v>12</v>
      </c>
      <c r="H45" s="8" t="n">
        <v>4.1</v>
      </c>
      <c r="I45" s="9" t="n">
        <v>83</v>
      </c>
      <c r="J45" s="6" t="n">
        <v>19</v>
      </c>
      <c r="K45" s="6" t="n">
        <v>10</v>
      </c>
      <c r="L45" s="6" t="s">
        <v>19</v>
      </c>
      <c r="M45" s="6" t="n">
        <v>4</v>
      </c>
      <c r="N45" s="6" t="s">
        <v>20</v>
      </c>
    </row>
    <row r="46" customFormat="false" ht="15" hidden="false" customHeight="false" outlineLevel="0" collapsed="false">
      <c r="A46" s="2" t="s">
        <v>46</v>
      </c>
      <c r="B46" s="2" t="s">
        <v>31</v>
      </c>
      <c r="C46" s="2" t="s">
        <v>32</v>
      </c>
      <c r="D46" s="2" t="s">
        <v>17</v>
      </c>
      <c r="E46" s="3" t="n">
        <v>2340</v>
      </c>
      <c r="F46" s="2" t="s">
        <v>24</v>
      </c>
      <c r="G46" s="2" t="n">
        <v>13</v>
      </c>
      <c r="H46" s="4" t="n">
        <v>4.2</v>
      </c>
      <c r="I46" s="5" t="n">
        <v>85</v>
      </c>
      <c r="J46" s="2" t="n">
        <v>18</v>
      </c>
      <c r="K46" s="2" t="n">
        <v>8</v>
      </c>
      <c r="L46" s="2" t="s">
        <v>33</v>
      </c>
      <c r="M46" s="2" t="n">
        <v>4</v>
      </c>
      <c r="N46" s="2" t="s">
        <v>20</v>
      </c>
    </row>
    <row r="47" customFormat="false" ht="15" hidden="false" customHeight="false" outlineLevel="0" collapsed="false">
      <c r="A47" s="6" t="s">
        <v>46</v>
      </c>
      <c r="B47" s="6" t="s">
        <v>34</v>
      </c>
      <c r="C47" s="6" t="s">
        <v>35</v>
      </c>
      <c r="D47" s="6" t="s">
        <v>27</v>
      </c>
      <c r="E47" s="7" t="n">
        <v>2343</v>
      </c>
      <c r="F47" s="6" t="s">
        <v>18</v>
      </c>
      <c r="G47" s="6" t="n">
        <v>13</v>
      </c>
      <c r="H47" s="8" t="n">
        <v>4.2</v>
      </c>
      <c r="I47" s="9" t="n">
        <v>84</v>
      </c>
      <c r="J47" s="6" t="n">
        <v>20</v>
      </c>
      <c r="K47" s="6" t="n">
        <v>9</v>
      </c>
      <c r="L47" s="6" t="s">
        <v>19</v>
      </c>
      <c r="M47" s="6" t="n">
        <v>6</v>
      </c>
      <c r="N47" s="6" t="s">
        <v>20</v>
      </c>
    </row>
    <row r="48" customFormat="false" ht="15" hidden="false" customHeight="false" outlineLevel="0" collapsed="false">
      <c r="A48" s="2" t="s">
        <v>46</v>
      </c>
      <c r="B48" s="2" t="s">
        <v>37</v>
      </c>
      <c r="C48" s="2" t="s">
        <v>38</v>
      </c>
      <c r="D48" s="2" t="s">
        <v>23</v>
      </c>
      <c r="E48" s="3" t="n">
        <v>2807</v>
      </c>
      <c r="F48" s="2" t="s">
        <v>18</v>
      </c>
      <c r="G48" s="2" t="n">
        <v>14</v>
      </c>
      <c r="H48" s="4" t="n">
        <v>4</v>
      </c>
      <c r="I48" s="5" t="n">
        <v>79</v>
      </c>
      <c r="J48" s="2" t="n">
        <v>19</v>
      </c>
      <c r="K48" s="2" t="n">
        <v>10</v>
      </c>
      <c r="L48" s="2" t="s">
        <v>19</v>
      </c>
      <c r="M48" s="2" t="n">
        <v>4</v>
      </c>
      <c r="N48" s="2" t="s">
        <v>36</v>
      </c>
    </row>
    <row r="49" customFormat="false" ht="15" hidden="false" customHeight="false" outlineLevel="0" collapsed="false">
      <c r="A49" s="6" t="s">
        <v>46</v>
      </c>
      <c r="B49" s="6" t="s">
        <v>39</v>
      </c>
      <c r="C49" s="6" t="s">
        <v>40</v>
      </c>
      <c r="D49" s="6" t="s">
        <v>30</v>
      </c>
      <c r="E49" s="7" t="n">
        <v>2945</v>
      </c>
      <c r="F49" s="6" t="s">
        <v>41</v>
      </c>
      <c r="G49" s="6" t="n">
        <v>12</v>
      </c>
      <c r="H49" s="8" t="n">
        <v>4.1</v>
      </c>
      <c r="I49" s="9" t="n">
        <v>79</v>
      </c>
      <c r="J49" s="6" t="n">
        <v>20</v>
      </c>
      <c r="K49" s="6" t="n">
        <v>10</v>
      </c>
      <c r="L49" s="6" t="s">
        <v>33</v>
      </c>
      <c r="M49" s="6" t="n">
        <v>2</v>
      </c>
      <c r="N49" s="6" t="s">
        <v>20</v>
      </c>
    </row>
    <row r="50" customFormat="false" ht="15" hidden="false" customHeight="false" outlineLevel="0" collapsed="false">
      <c r="A50" s="2" t="s">
        <v>47</v>
      </c>
      <c r="B50" s="2" t="s">
        <v>15</v>
      </c>
      <c r="C50" s="2" t="s">
        <v>16</v>
      </c>
      <c r="D50" s="2" t="s">
        <v>17</v>
      </c>
      <c r="E50" s="3" t="n">
        <v>1585</v>
      </c>
      <c r="F50" s="2" t="s">
        <v>18</v>
      </c>
      <c r="G50" s="2" t="n">
        <v>12</v>
      </c>
      <c r="H50" s="4" t="n">
        <v>4.1</v>
      </c>
      <c r="I50" s="5" t="n">
        <v>82</v>
      </c>
      <c r="J50" s="2" t="n">
        <v>17</v>
      </c>
      <c r="K50" s="2" t="n">
        <v>8</v>
      </c>
      <c r="L50" s="2" t="s">
        <v>19</v>
      </c>
      <c r="M50" s="2" t="n">
        <v>5</v>
      </c>
      <c r="N50" s="2" t="s">
        <v>20</v>
      </c>
    </row>
    <row r="51" customFormat="false" ht="15" hidden="false" customHeight="false" outlineLevel="0" collapsed="false">
      <c r="A51" s="6" t="s">
        <v>47</v>
      </c>
      <c r="B51" s="6" t="s">
        <v>21</v>
      </c>
      <c r="C51" s="6" t="s">
        <v>22</v>
      </c>
      <c r="D51" s="6" t="s">
        <v>23</v>
      </c>
      <c r="E51" s="7" t="n">
        <v>1795</v>
      </c>
      <c r="F51" s="6" t="s">
        <v>24</v>
      </c>
      <c r="G51" s="6" t="n">
        <v>14</v>
      </c>
      <c r="H51" s="8" t="n">
        <v>4</v>
      </c>
      <c r="I51" s="9" t="n">
        <v>78</v>
      </c>
      <c r="J51" s="6" t="n">
        <v>18</v>
      </c>
      <c r="K51" s="6" t="n">
        <v>8</v>
      </c>
      <c r="L51" s="6" t="s">
        <v>19</v>
      </c>
      <c r="M51" s="6" t="n">
        <v>2</v>
      </c>
      <c r="N51" s="6" t="s">
        <v>20</v>
      </c>
    </row>
    <row r="52" customFormat="false" ht="15" hidden="false" customHeight="false" outlineLevel="0" collapsed="false">
      <c r="A52" s="2" t="s">
        <v>47</v>
      </c>
      <c r="B52" s="2" t="s">
        <v>25</v>
      </c>
      <c r="C52" s="2" t="s">
        <v>26</v>
      </c>
      <c r="D52" s="2" t="s">
        <v>27</v>
      </c>
      <c r="E52" s="3" t="n">
        <v>1752</v>
      </c>
      <c r="F52" s="2" t="s">
        <v>18</v>
      </c>
      <c r="G52" s="2" t="n">
        <v>13</v>
      </c>
      <c r="H52" s="4" t="n">
        <v>4.2</v>
      </c>
      <c r="I52" s="5" t="n">
        <v>80</v>
      </c>
      <c r="J52" s="2" t="n">
        <v>18</v>
      </c>
      <c r="K52" s="2" t="n">
        <v>9</v>
      </c>
      <c r="L52" s="2" t="s">
        <v>19</v>
      </c>
      <c r="M52" s="2" t="n">
        <v>2</v>
      </c>
      <c r="N52" s="2" t="s">
        <v>20</v>
      </c>
    </row>
    <row r="53" customFormat="false" ht="15" hidden="false" customHeight="false" outlineLevel="0" collapsed="false">
      <c r="A53" s="6" t="s">
        <v>47</v>
      </c>
      <c r="B53" s="6" t="s">
        <v>28</v>
      </c>
      <c r="C53" s="6" t="s">
        <v>29</v>
      </c>
      <c r="D53" s="6" t="s">
        <v>30</v>
      </c>
      <c r="E53" s="7" t="n">
        <v>1988</v>
      </c>
      <c r="F53" s="6" t="s">
        <v>18</v>
      </c>
      <c r="G53" s="6" t="n">
        <v>12</v>
      </c>
      <c r="H53" s="8" t="n">
        <v>4.2</v>
      </c>
      <c r="I53" s="9" t="n">
        <v>78</v>
      </c>
      <c r="J53" s="6" t="n">
        <v>18</v>
      </c>
      <c r="K53" s="6" t="n">
        <v>9</v>
      </c>
      <c r="L53" s="6" t="s">
        <v>19</v>
      </c>
      <c r="M53" s="6" t="n">
        <v>3</v>
      </c>
      <c r="N53" s="6" t="s">
        <v>20</v>
      </c>
    </row>
    <row r="54" customFormat="false" ht="15" hidden="false" customHeight="false" outlineLevel="0" collapsed="false">
      <c r="A54" s="2" t="s">
        <v>47</v>
      </c>
      <c r="B54" s="2" t="s">
        <v>31</v>
      </c>
      <c r="C54" s="2" t="s">
        <v>32</v>
      </c>
      <c r="D54" s="2" t="s">
        <v>17</v>
      </c>
      <c r="E54" s="3" t="n">
        <v>2107</v>
      </c>
      <c r="F54" s="2" t="s">
        <v>24</v>
      </c>
      <c r="G54" s="2" t="n">
        <v>14</v>
      </c>
      <c r="H54" s="4" t="n">
        <v>4</v>
      </c>
      <c r="I54" s="5" t="n">
        <v>79</v>
      </c>
      <c r="J54" s="2" t="n">
        <v>19</v>
      </c>
      <c r="K54" s="2" t="n">
        <v>8</v>
      </c>
      <c r="L54" s="2" t="s">
        <v>33</v>
      </c>
      <c r="M54" s="2" t="n">
        <v>4</v>
      </c>
      <c r="N54" s="2" t="s">
        <v>20</v>
      </c>
    </row>
    <row r="55" customFormat="false" ht="15" hidden="false" customHeight="false" outlineLevel="0" collapsed="false">
      <c r="A55" s="6" t="s">
        <v>47</v>
      </c>
      <c r="B55" s="6" t="s">
        <v>34</v>
      </c>
      <c r="C55" s="6" t="s">
        <v>35</v>
      </c>
      <c r="D55" s="6" t="s">
        <v>27</v>
      </c>
      <c r="E55" s="7" t="n">
        <v>2327</v>
      </c>
      <c r="F55" s="6" t="s">
        <v>18</v>
      </c>
      <c r="G55" s="6" t="n">
        <v>14</v>
      </c>
      <c r="H55" s="8" t="n">
        <v>4.1</v>
      </c>
      <c r="I55" s="9" t="n">
        <v>83</v>
      </c>
      <c r="J55" s="6" t="n">
        <v>21</v>
      </c>
      <c r="K55" s="6" t="n">
        <v>10</v>
      </c>
      <c r="L55" s="6" t="s">
        <v>19</v>
      </c>
      <c r="M55" s="6" t="n">
        <v>2</v>
      </c>
      <c r="N55" s="6" t="s">
        <v>20</v>
      </c>
    </row>
    <row r="56" customFormat="false" ht="15" hidden="false" customHeight="false" outlineLevel="0" collapsed="false">
      <c r="A56" s="2" t="s">
        <v>47</v>
      </c>
      <c r="B56" s="2" t="s">
        <v>37</v>
      </c>
      <c r="C56" s="2" t="s">
        <v>38</v>
      </c>
      <c r="D56" s="2" t="s">
        <v>23</v>
      </c>
      <c r="E56" s="3" t="n">
        <v>2717</v>
      </c>
      <c r="F56" s="2" t="s">
        <v>18</v>
      </c>
      <c r="G56" s="2" t="n">
        <v>13</v>
      </c>
      <c r="H56" s="4" t="n">
        <v>4</v>
      </c>
      <c r="I56" s="5" t="n">
        <v>79</v>
      </c>
      <c r="J56" s="2" t="n">
        <v>17</v>
      </c>
      <c r="K56" s="2" t="n">
        <v>7</v>
      </c>
      <c r="L56" s="2" t="s">
        <v>19</v>
      </c>
      <c r="M56" s="2" t="n">
        <v>4</v>
      </c>
      <c r="N56" s="2" t="s">
        <v>20</v>
      </c>
    </row>
    <row r="57" customFormat="false" ht="15" hidden="false" customHeight="false" outlineLevel="0" collapsed="false">
      <c r="A57" s="6" t="s">
        <v>47</v>
      </c>
      <c r="B57" s="6" t="s">
        <v>39</v>
      </c>
      <c r="C57" s="6" t="s">
        <v>40</v>
      </c>
      <c r="D57" s="6" t="s">
        <v>30</v>
      </c>
      <c r="E57" s="7" t="n">
        <v>2841</v>
      </c>
      <c r="F57" s="6" t="s">
        <v>41</v>
      </c>
      <c r="G57" s="6" t="n">
        <v>13</v>
      </c>
      <c r="H57" s="8" t="n">
        <v>4.1</v>
      </c>
      <c r="I57" s="9" t="n">
        <v>81</v>
      </c>
      <c r="J57" s="6" t="n">
        <v>17</v>
      </c>
      <c r="K57" s="6" t="n">
        <v>8</v>
      </c>
      <c r="L57" s="6" t="s">
        <v>33</v>
      </c>
      <c r="M57" s="6" t="n">
        <v>3</v>
      </c>
      <c r="N57" s="6" t="s">
        <v>20</v>
      </c>
    </row>
    <row r="58" customFormat="false" ht="15" hidden="false" customHeight="false" outlineLevel="0" collapsed="false">
      <c r="A58" s="2" t="s">
        <v>48</v>
      </c>
      <c r="B58" s="2" t="s">
        <v>15</v>
      </c>
      <c r="C58" s="2" t="s">
        <v>16</v>
      </c>
      <c r="D58" s="2" t="s">
        <v>17</v>
      </c>
      <c r="E58" s="3" t="n">
        <v>1652</v>
      </c>
      <c r="F58" s="2" t="s">
        <v>18</v>
      </c>
      <c r="G58" s="2" t="n">
        <v>13</v>
      </c>
      <c r="H58" s="4" t="n">
        <v>4.3</v>
      </c>
      <c r="I58" s="5" t="n">
        <v>87</v>
      </c>
      <c r="J58" s="2" t="n">
        <v>24</v>
      </c>
      <c r="K58" s="2" t="n">
        <v>13</v>
      </c>
      <c r="L58" s="2" t="s">
        <v>19</v>
      </c>
      <c r="M58" s="2" t="n">
        <v>3</v>
      </c>
      <c r="N58" s="2" t="s">
        <v>20</v>
      </c>
    </row>
    <row r="59" customFormat="false" ht="15" hidden="false" customHeight="false" outlineLevel="0" collapsed="false">
      <c r="A59" s="6" t="s">
        <v>48</v>
      </c>
      <c r="B59" s="6" t="s">
        <v>21</v>
      </c>
      <c r="C59" s="6" t="s">
        <v>22</v>
      </c>
      <c r="D59" s="6" t="s">
        <v>23</v>
      </c>
      <c r="E59" s="7" t="n">
        <v>1884</v>
      </c>
      <c r="F59" s="6" t="s">
        <v>24</v>
      </c>
      <c r="G59" s="6" t="n">
        <v>11</v>
      </c>
      <c r="H59" s="8" t="n">
        <v>4.4</v>
      </c>
      <c r="I59" s="9" t="n">
        <v>85</v>
      </c>
      <c r="J59" s="6" t="n">
        <v>24</v>
      </c>
      <c r="K59" s="6" t="n">
        <v>12</v>
      </c>
      <c r="L59" s="6" t="s">
        <v>19</v>
      </c>
      <c r="M59" s="6" t="n">
        <v>2</v>
      </c>
      <c r="N59" s="6" t="s">
        <v>20</v>
      </c>
    </row>
    <row r="60" customFormat="false" ht="15" hidden="false" customHeight="false" outlineLevel="0" collapsed="false">
      <c r="A60" s="2" t="s">
        <v>48</v>
      </c>
      <c r="B60" s="2" t="s">
        <v>25</v>
      </c>
      <c r="C60" s="2" t="s">
        <v>26</v>
      </c>
      <c r="D60" s="2" t="s">
        <v>27</v>
      </c>
      <c r="E60" s="3" t="n">
        <v>2207</v>
      </c>
      <c r="F60" s="2" t="s">
        <v>18</v>
      </c>
      <c r="G60" s="2" t="n">
        <v>12</v>
      </c>
      <c r="H60" s="4" t="n">
        <v>4.3</v>
      </c>
      <c r="I60" s="5" t="n">
        <v>88</v>
      </c>
      <c r="J60" s="2" t="n">
        <v>23</v>
      </c>
      <c r="K60" s="2" t="n">
        <v>11</v>
      </c>
      <c r="L60" s="2" t="s">
        <v>19</v>
      </c>
      <c r="M60" s="2" t="n">
        <v>4</v>
      </c>
      <c r="N60" s="2" t="s">
        <v>20</v>
      </c>
    </row>
    <row r="61" customFormat="false" ht="15" hidden="false" customHeight="false" outlineLevel="0" collapsed="false">
      <c r="A61" s="6" t="s">
        <v>48</v>
      </c>
      <c r="B61" s="6" t="s">
        <v>28</v>
      </c>
      <c r="C61" s="6" t="s">
        <v>29</v>
      </c>
      <c r="D61" s="6" t="s">
        <v>30</v>
      </c>
      <c r="E61" s="7" t="n">
        <v>2359</v>
      </c>
      <c r="F61" s="6" t="s">
        <v>18</v>
      </c>
      <c r="G61" s="6" t="n">
        <v>11</v>
      </c>
      <c r="H61" s="8" t="n">
        <v>4.3</v>
      </c>
      <c r="I61" s="9" t="n">
        <v>86</v>
      </c>
      <c r="J61" s="6" t="n">
        <v>21</v>
      </c>
      <c r="K61" s="6" t="n">
        <v>11</v>
      </c>
      <c r="L61" s="6" t="s">
        <v>19</v>
      </c>
      <c r="M61" s="6" t="n">
        <v>5</v>
      </c>
      <c r="N61" s="6" t="s">
        <v>20</v>
      </c>
    </row>
    <row r="62" customFormat="false" ht="15" hidden="false" customHeight="false" outlineLevel="0" collapsed="false">
      <c r="A62" s="2" t="s">
        <v>48</v>
      </c>
      <c r="B62" s="2" t="s">
        <v>31</v>
      </c>
      <c r="C62" s="2" t="s">
        <v>32</v>
      </c>
      <c r="D62" s="2" t="s">
        <v>17</v>
      </c>
      <c r="E62" s="3" t="n">
        <v>2565</v>
      </c>
      <c r="F62" s="2" t="s">
        <v>24</v>
      </c>
      <c r="G62" s="2" t="n">
        <v>11</v>
      </c>
      <c r="H62" s="4" t="n">
        <v>4.3</v>
      </c>
      <c r="I62" s="5" t="n">
        <v>84</v>
      </c>
      <c r="J62" s="2" t="n">
        <v>23</v>
      </c>
      <c r="K62" s="2" t="n">
        <v>12</v>
      </c>
      <c r="L62" s="2" t="s">
        <v>33</v>
      </c>
      <c r="M62" s="2" t="n">
        <v>4</v>
      </c>
      <c r="N62" s="2" t="s">
        <v>20</v>
      </c>
    </row>
    <row r="63" customFormat="false" ht="15" hidden="false" customHeight="false" outlineLevel="0" collapsed="false">
      <c r="A63" s="6" t="s">
        <v>48</v>
      </c>
      <c r="B63" s="6" t="s">
        <v>34</v>
      </c>
      <c r="C63" s="6" t="s">
        <v>35</v>
      </c>
      <c r="D63" s="6" t="s">
        <v>27</v>
      </c>
      <c r="E63" s="7" t="n">
        <v>2736</v>
      </c>
      <c r="F63" s="6" t="s">
        <v>18</v>
      </c>
      <c r="G63" s="6" t="n">
        <v>12</v>
      </c>
      <c r="H63" s="8" t="n">
        <v>4.3</v>
      </c>
      <c r="I63" s="9" t="n">
        <v>87</v>
      </c>
      <c r="J63" s="6" t="n">
        <v>23</v>
      </c>
      <c r="K63" s="6" t="n">
        <v>12</v>
      </c>
      <c r="L63" s="6" t="s">
        <v>19</v>
      </c>
      <c r="M63" s="6" t="n">
        <v>2</v>
      </c>
      <c r="N63" s="6" t="s">
        <v>20</v>
      </c>
    </row>
    <row r="64" customFormat="false" ht="15" hidden="false" customHeight="false" outlineLevel="0" collapsed="false">
      <c r="A64" s="2" t="s">
        <v>48</v>
      </c>
      <c r="B64" s="2" t="s">
        <v>37</v>
      </c>
      <c r="C64" s="2" t="s">
        <v>38</v>
      </c>
      <c r="D64" s="2" t="s">
        <v>23</v>
      </c>
      <c r="E64" s="3" t="n">
        <v>2856</v>
      </c>
      <c r="F64" s="2" t="s">
        <v>18</v>
      </c>
      <c r="G64" s="2" t="n">
        <v>13</v>
      </c>
      <c r="H64" s="4" t="n">
        <v>4.3</v>
      </c>
      <c r="I64" s="5" t="n">
        <v>85</v>
      </c>
      <c r="J64" s="2" t="n">
        <v>20</v>
      </c>
      <c r="K64" s="2" t="n">
        <v>9</v>
      </c>
      <c r="L64" s="2" t="s">
        <v>19</v>
      </c>
      <c r="M64" s="2" t="n">
        <v>3</v>
      </c>
      <c r="N64" s="2" t="s">
        <v>20</v>
      </c>
    </row>
    <row r="65" customFormat="false" ht="15" hidden="false" customHeight="false" outlineLevel="0" collapsed="false">
      <c r="A65" s="6" t="s">
        <v>48</v>
      </c>
      <c r="B65" s="6" t="s">
        <v>39</v>
      </c>
      <c r="C65" s="6" t="s">
        <v>40</v>
      </c>
      <c r="D65" s="6" t="s">
        <v>30</v>
      </c>
      <c r="E65" s="7" t="n">
        <v>3320</v>
      </c>
      <c r="F65" s="6" t="s">
        <v>41</v>
      </c>
      <c r="G65" s="6" t="n">
        <v>11</v>
      </c>
      <c r="H65" s="8" t="n">
        <v>4.2</v>
      </c>
      <c r="I65" s="9" t="n">
        <v>84</v>
      </c>
      <c r="J65" s="6" t="n">
        <v>23</v>
      </c>
      <c r="K65" s="6" t="n">
        <v>12</v>
      </c>
      <c r="L65" s="6" t="s">
        <v>33</v>
      </c>
      <c r="M65" s="6" t="n">
        <v>2</v>
      </c>
      <c r="N65" s="6" t="s">
        <v>20</v>
      </c>
    </row>
    <row r="66" customFormat="false" ht="15" hidden="false" customHeight="false" outlineLevel="0" collapsed="false">
      <c r="A66" s="2" t="s">
        <v>49</v>
      </c>
      <c r="B66" s="2" t="s">
        <v>15</v>
      </c>
      <c r="C66" s="2" t="s">
        <v>16</v>
      </c>
      <c r="D66" s="2" t="s">
        <v>17</v>
      </c>
      <c r="E66" s="3" t="n">
        <v>1866</v>
      </c>
      <c r="F66" s="2" t="s">
        <v>18</v>
      </c>
      <c r="G66" s="2" t="n">
        <v>12</v>
      </c>
      <c r="H66" s="4" t="n">
        <v>4.4</v>
      </c>
      <c r="I66" s="5" t="n">
        <v>90</v>
      </c>
      <c r="J66" s="2" t="n">
        <v>25</v>
      </c>
      <c r="K66" s="2" t="n">
        <v>12</v>
      </c>
      <c r="L66" s="2" t="s">
        <v>19</v>
      </c>
      <c r="M66" s="2" t="n">
        <v>3</v>
      </c>
      <c r="N66" s="2" t="s">
        <v>20</v>
      </c>
    </row>
    <row r="67" customFormat="false" ht="15" hidden="false" customHeight="false" outlineLevel="0" collapsed="false">
      <c r="A67" s="6" t="s">
        <v>49</v>
      </c>
      <c r="B67" s="6" t="s">
        <v>21</v>
      </c>
      <c r="C67" s="6" t="s">
        <v>22</v>
      </c>
      <c r="D67" s="6" t="s">
        <v>23</v>
      </c>
      <c r="E67" s="7" t="n">
        <v>2158</v>
      </c>
      <c r="F67" s="6" t="s">
        <v>24</v>
      </c>
      <c r="G67" s="6" t="n">
        <v>10</v>
      </c>
      <c r="H67" s="8" t="n">
        <v>4.5</v>
      </c>
      <c r="I67" s="9" t="n">
        <v>91</v>
      </c>
      <c r="J67" s="6" t="n">
        <v>22</v>
      </c>
      <c r="K67" s="6" t="n">
        <v>11</v>
      </c>
      <c r="L67" s="6" t="s">
        <v>19</v>
      </c>
      <c r="M67" s="6" t="n">
        <v>6</v>
      </c>
      <c r="N67" s="6" t="s">
        <v>20</v>
      </c>
    </row>
    <row r="68" customFormat="false" ht="15" hidden="false" customHeight="false" outlineLevel="0" collapsed="false">
      <c r="A68" s="2" t="s">
        <v>49</v>
      </c>
      <c r="B68" s="2" t="s">
        <v>25</v>
      </c>
      <c r="C68" s="2" t="s">
        <v>26</v>
      </c>
      <c r="D68" s="2" t="s">
        <v>27</v>
      </c>
      <c r="E68" s="3" t="n">
        <v>2317</v>
      </c>
      <c r="F68" s="2" t="s">
        <v>18</v>
      </c>
      <c r="G68" s="2" t="n">
        <v>12</v>
      </c>
      <c r="H68" s="4" t="n">
        <v>4.3</v>
      </c>
      <c r="I68" s="5" t="n">
        <v>91</v>
      </c>
      <c r="J68" s="2" t="n">
        <v>22</v>
      </c>
      <c r="K68" s="2" t="n">
        <v>11</v>
      </c>
      <c r="L68" s="2" t="s">
        <v>19</v>
      </c>
      <c r="M68" s="2" t="n">
        <v>5</v>
      </c>
      <c r="N68" s="2" t="s">
        <v>20</v>
      </c>
    </row>
    <row r="69" customFormat="false" ht="15" hidden="false" customHeight="false" outlineLevel="0" collapsed="false">
      <c r="A69" s="6" t="s">
        <v>49</v>
      </c>
      <c r="B69" s="6" t="s">
        <v>28</v>
      </c>
      <c r="C69" s="6" t="s">
        <v>29</v>
      </c>
      <c r="D69" s="6" t="s">
        <v>30</v>
      </c>
      <c r="E69" s="7" t="n">
        <v>2625</v>
      </c>
      <c r="F69" s="6" t="s">
        <v>18</v>
      </c>
      <c r="G69" s="6" t="n">
        <v>12</v>
      </c>
      <c r="H69" s="8" t="n">
        <v>4.4</v>
      </c>
      <c r="I69" s="9" t="n">
        <v>91</v>
      </c>
      <c r="J69" s="6" t="n">
        <v>25</v>
      </c>
      <c r="K69" s="6" t="n">
        <v>13</v>
      </c>
      <c r="L69" s="6" t="s">
        <v>19</v>
      </c>
      <c r="M69" s="6" t="n">
        <v>6</v>
      </c>
      <c r="N69" s="6" t="s">
        <v>20</v>
      </c>
    </row>
    <row r="70" customFormat="false" ht="15" hidden="false" customHeight="false" outlineLevel="0" collapsed="false">
      <c r="A70" s="2" t="s">
        <v>49</v>
      </c>
      <c r="B70" s="2" t="s">
        <v>31</v>
      </c>
      <c r="C70" s="2" t="s">
        <v>32</v>
      </c>
      <c r="D70" s="2" t="s">
        <v>17</v>
      </c>
      <c r="E70" s="3" t="n">
        <v>2749</v>
      </c>
      <c r="F70" s="2" t="s">
        <v>24</v>
      </c>
      <c r="G70" s="2" t="n">
        <v>12</v>
      </c>
      <c r="H70" s="4" t="n">
        <v>4.4</v>
      </c>
      <c r="I70" s="5" t="n">
        <v>86</v>
      </c>
      <c r="J70" s="2" t="n">
        <v>25</v>
      </c>
      <c r="K70" s="2" t="n">
        <v>12</v>
      </c>
      <c r="L70" s="2" t="s">
        <v>33</v>
      </c>
      <c r="M70" s="2" t="n">
        <v>3</v>
      </c>
      <c r="N70" s="2" t="s">
        <v>20</v>
      </c>
    </row>
    <row r="71" customFormat="false" ht="15" hidden="false" customHeight="false" outlineLevel="0" collapsed="false">
      <c r="A71" s="6" t="s">
        <v>49</v>
      </c>
      <c r="B71" s="6" t="s">
        <v>34</v>
      </c>
      <c r="C71" s="6" t="s">
        <v>35</v>
      </c>
      <c r="D71" s="6" t="s">
        <v>27</v>
      </c>
      <c r="E71" s="7" t="n">
        <v>3171</v>
      </c>
      <c r="F71" s="6" t="s">
        <v>18</v>
      </c>
      <c r="G71" s="6" t="n">
        <v>11</v>
      </c>
      <c r="H71" s="8" t="n">
        <v>4.5</v>
      </c>
      <c r="I71" s="9" t="n">
        <v>89</v>
      </c>
      <c r="J71" s="6" t="n">
        <v>25</v>
      </c>
      <c r="K71" s="6" t="n">
        <v>13</v>
      </c>
      <c r="L71" s="6" t="s">
        <v>19</v>
      </c>
      <c r="M71" s="6" t="n">
        <v>5</v>
      </c>
      <c r="N71" s="6" t="s">
        <v>20</v>
      </c>
    </row>
    <row r="72" customFormat="false" ht="15" hidden="false" customHeight="false" outlineLevel="0" collapsed="false">
      <c r="A72" s="2" t="s">
        <v>49</v>
      </c>
      <c r="B72" s="2" t="s">
        <v>37</v>
      </c>
      <c r="C72" s="2" t="s">
        <v>38</v>
      </c>
      <c r="D72" s="2" t="s">
        <v>23</v>
      </c>
      <c r="E72" s="3" t="n">
        <v>3015</v>
      </c>
      <c r="F72" s="2" t="s">
        <v>18</v>
      </c>
      <c r="G72" s="2" t="n">
        <v>11</v>
      </c>
      <c r="H72" s="4" t="n">
        <v>4.3</v>
      </c>
      <c r="I72" s="5" t="n">
        <v>87</v>
      </c>
      <c r="J72" s="2" t="n">
        <v>24</v>
      </c>
      <c r="K72" s="2" t="n">
        <v>13</v>
      </c>
      <c r="L72" s="2" t="s">
        <v>19</v>
      </c>
      <c r="M72" s="2" t="n">
        <v>3</v>
      </c>
      <c r="N72" s="2" t="s">
        <v>36</v>
      </c>
    </row>
    <row r="73" customFormat="false" ht="15" hidden="false" customHeight="false" outlineLevel="0" collapsed="false">
      <c r="A73" s="6" t="s">
        <v>49</v>
      </c>
      <c r="B73" s="6" t="s">
        <v>39</v>
      </c>
      <c r="C73" s="6" t="s">
        <v>40</v>
      </c>
      <c r="D73" s="6" t="s">
        <v>30</v>
      </c>
      <c r="E73" s="7" t="n">
        <v>3310</v>
      </c>
      <c r="F73" s="6" t="s">
        <v>41</v>
      </c>
      <c r="G73" s="6" t="n">
        <v>12</v>
      </c>
      <c r="H73" s="8" t="n">
        <v>4.3</v>
      </c>
      <c r="I73" s="9" t="n">
        <v>86</v>
      </c>
      <c r="J73" s="6" t="n">
        <v>22</v>
      </c>
      <c r="K73" s="6" t="n">
        <v>11</v>
      </c>
      <c r="L73" s="6" t="s">
        <v>33</v>
      </c>
      <c r="M73" s="6" t="n">
        <v>6</v>
      </c>
      <c r="N73" s="6" t="s">
        <v>20</v>
      </c>
    </row>
    <row r="74" customFormat="false" ht="15" hidden="false" customHeight="false" outlineLevel="0" collapsed="false">
      <c r="A74" s="2" t="s">
        <v>50</v>
      </c>
      <c r="B74" s="2" t="s">
        <v>15</v>
      </c>
      <c r="C74" s="2" t="s">
        <v>16</v>
      </c>
      <c r="D74" s="2" t="s">
        <v>17</v>
      </c>
      <c r="E74" s="3" t="n">
        <v>2038</v>
      </c>
      <c r="F74" s="2" t="s">
        <v>18</v>
      </c>
      <c r="G74" s="2" t="n">
        <v>9</v>
      </c>
      <c r="H74" s="4" t="n">
        <v>4.4</v>
      </c>
      <c r="I74" s="5" t="n">
        <v>91</v>
      </c>
      <c r="J74" s="2" t="n">
        <v>27</v>
      </c>
      <c r="K74" s="2" t="n">
        <v>14</v>
      </c>
      <c r="L74" s="2" t="s">
        <v>19</v>
      </c>
      <c r="M74" s="2" t="n">
        <v>2</v>
      </c>
      <c r="N74" s="2" t="s">
        <v>20</v>
      </c>
    </row>
    <row r="75" customFormat="false" ht="15" hidden="false" customHeight="false" outlineLevel="0" collapsed="false">
      <c r="A75" s="6" t="s">
        <v>50</v>
      </c>
      <c r="B75" s="6" t="s">
        <v>21</v>
      </c>
      <c r="C75" s="6" t="s">
        <v>22</v>
      </c>
      <c r="D75" s="6" t="s">
        <v>23</v>
      </c>
      <c r="E75" s="7" t="n">
        <v>2427</v>
      </c>
      <c r="F75" s="6" t="s">
        <v>24</v>
      </c>
      <c r="G75" s="6" t="n">
        <v>11</v>
      </c>
      <c r="H75" s="8" t="n">
        <v>4.5</v>
      </c>
      <c r="I75" s="9" t="n">
        <v>88</v>
      </c>
      <c r="J75" s="6" t="n">
        <v>26</v>
      </c>
      <c r="K75" s="6" t="n">
        <v>13</v>
      </c>
      <c r="L75" s="6" t="s">
        <v>19</v>
      </c>
      <c r="M75" s="6" t="n">
        <v>5</v>
      </c>
      <c r="N75" s="6" t="s">
        <v>20</v>
      </c>
    </row>
    <row r="76" customFormat="false" ht="15" hidden="false" customHeight="false" outlineLevel="0" collapsed="false">
      <c r="A76" s="2" t="s">
        <v>50</v>
      </c>
      <c r="B76" s="2" t="s">
        <v>25</v>
      </c>
      <c r="C76" s="2" t="s">
        <v>26</v>
      </c>
      <c r="D76" s="2" t="s">
        <v>27</v>
      </c>
      <c r="E76" s="3" t="n">
        <v>2557</v>
      </c>
      <c r="F76" s="2" t="s">
        <v>18</v>
      </c>
      <c r="G76" s="2" t="n">
        <v>11</v>
      </c>
      <c r="H76" s="4" t="n">
        <v>4.5</v>
      </c>
      <c r="I76" s="5" t="n">
        <v>92</v>
      </c>
      <c r="J76" s="2" t="n">
        <v>25</v>
      </c>
      <c r="K76" s="2" t="n">
        <v>12</v>
      </c>
      <c r="L76" s="2" t="s">
        <v>19</v>
      </c>
      <c r="M76" s="2" t="n">
        <v>5</v>
      </c>
      <c r="N76" s="2" t="s">
        <v>20</v>
      </c>
    </row>
    <row r="77" customFormat="false" ht="15" hidden="false" customHeight="false" outlineLevel="0" collapsed="false">
      <c r="A77" s="6" t="s">
        <v>50</v>
      </c>
      <c r="B77" s="6" t="s">
        <v>28</v>
      </c>
      <c r="C77" s="6" t="s">
        <v>29</v>
      </c>
      <c r="D77" s="6" t="s">
        <v>30</v>
      </c>
      <c r="E77" s="7" t="n">
        <v>2781</v>
      </c>
      <c r="F77" s="6" t="s">
        <v>18</v>
      </c>
      <c r="G77" s="6" t="n">
        <v>10</v>
      </c>
      <c r="H77" s="8" t="n">
        <v>4.5</v>
      </c>
      <c r="I77" s="9" t="n">
        <v>93</v>
      </c>
      <c r="J77" s="6" t="n">
        <v>27</v>
      </c>
      <c r="K77" s="6" t="n">
        <v>14</v>
      </c>
      <c r="L77" s="6" t="s">
        <v>19</v>
      </c>
      <c r="M77" s="6" t="n">
        <v>5</v>
      </c>
      <c r="N77" s="6" t="s">
        <v>20</v>
      </c>
    </row>
    <row r="78" customFormat="false" ht="15" hidden="false" customHeight="false" outlineLevel="0" collapsed="false">
      <c r="A78" s="2" t="s">
        <v>50</v>
      </c>
      <c r="B78" s="2" t="s">
        <v>31</v>
      </c>
      <c r="C78" s="2" t="s">
        <v>32</v>
      </c>
      <c r="D78" s="2" t="s">
        <v>17</v>
      </c>
      <c r="E78" s="3" t="n">
        <v>3237</v>
      </c>
      <c r="F78" s="2" t="s">
        <v>24</v>
      </c>
      <c r="G78" s="2" t="n">
        <v>11</v>
      </c>
      <c r="H78" s="4" t="n">
        <v>4.5</v>
      </c>
      <c r="I78" s="5" t="n">
        <v>91</v>
      </c>
      <c r="J78" s="2" t="n">
        <v>28</v>
      </c>
      <c r="K78" s="2" t="n">
        <v>15</v>
      </c>
      <c r="L78" s="2" t="s">
        <v>33</v>
      </c>
      <c r="M78" s="2" t="n">
        <v>2</v>
      </c>
      <c r="N78" s="2" t="s">
        <v>20</v>
      </c>
    </row>
    <row r="79" customFormat="false" ht="15" hidden="false" customHeight="false" outlineLevel="0" collapsed="false">
      <c r="A79" s="6" t="s">
        <v>50</v>
      </c>
      <c r="B79" s="6" t="s">
        <v>34</v>
      </c>
      <c r="C79" s="6" t="s">
        <v>35</v>
      </c>
      <c r="D79" s="6" t="s">
        <v>27</v>
      </c>
      <c r="E79" s="7" t="n">
        <v>3354</v>
      </c>
      <c r="F79" s="6" t="s">
        <v>18</v>
      </c>
      <c r="G79" s="6" t="n">
        <v>9</v>
      </c>
      <c r="H79" s="8" t="n">
        <v>4.6</v>
      </c>
      <c r="I79" s="9" t="n">
        <v>89</v>
      </c>
      <c r="J79" s="6" t="n">
        <v>24</v>
      </c>
      <c r="K79" s="6" t="n">
        <v>12</v>
      </c>
      <c r="L79" s="6" t="s">
        <v>19</v>
      </c>
      <c r="M79" s="6" t="n">
        <v>3</v>
      </c>
      <c r="N79" s="6" t="s">
        <v>20</v>
      </c>
    </row>
    <row r="80" customFormat="false" ht="15" hidden="false" customHeight="false" outlineLevel="0" collapsed="false">
      <c r="A80" s="2" t="s">
        <v>50</v>
      </c>
      <c r="B80" s="2" t="s">
        <v>37</v>
      </c>
      <c r="C80" s="2" t="s">
        <v>38</v>
      </c>
      <c r="D80" s="2" t="s">
        <v>23</v>
      </c>
      <c r="E80" s="3" t="n">
        <v>3500</v>
      </c>
      <c r="F80" s="2" t="s">
        <v>18</v>
      </c>
      <c r="G80" s="2" t="n">
        <v>10</v>
      </c>
      <c r="H80" s="4" t="n">
        <v>4.6</v>
      </c>
      <c r="I80" s="5" t="n">
        <v>91</v>
      </c>
      <c r="J80" s="2" t="n">
        <v>26</v>
      </c>
      <c r="K80" s="2" t="n">
        <v>13</v>
      </c>
      <c r="L80" s="2" t="s">
        <v>19</v>
      </c>
      <c r="M80" s="2" t="n">
        <v>2</v>
      </c>
      <c r="N80" s="2" t="s">
        <v>20</v>
      </c>
    </row>
    <row r="81" customFormat="false" ht="15" hidden="false" customHeight="false" outlineLevel="0" collapsed="false">
      <c r="A81" s="6" t="s">
        <v>50</v>
      </c>
      <c r="B81" s="6" t="s">
        <v>39</v>
      </c>
      <c r="C81" s="6" t="s">
        <v>40</v>
      </c>
      <c r="D81" s="6" t="s">
        <v>30</v>
      </c>
      <c r="E81" s="7" t="n">
        <v>3754</v>
      </c>
      <c r="F81" s="6" t="s">
        <v>41</v>
      </c>
      <c r="G81" s="6" t="n">
        <v>11</v>
      </c>
      <c r="H81" s="8" t="n">
        <v>4.5</v>
      </c>
      <c r="I81" s="9" t="n">
        <v>90</v>
      </c>
      <c r="J81" s="6" t="n">
        <v>25</v>
      </c>
      <c r="K81" s="6" t="n">
        <v>13</v>
      </c>
      <c r="L81" s="6" t="s">
        <v>33</v>
      </c>
      <c r="M81" s="6" t="n">
        <v>2</v>
      </c>
      <c r="N81" s="6" t="s">
        <v>36</v>
      </c>
    </row>
    <row r="82" customFormat="false" ht="15" hidden="false" customHeight="false" outlineLevel="0" collapsed="false">
      <c r="A82" s="2" t="s">
        <v>51</v>
      </c>
      <c r="B82" s="2" t="s">
        <v>15</v>
      </c>
      <c r="C82" s="2" t="s">
        <v>16</v>
      </c>
      <c r="D82" s="2" t="s">
        <v>17</v>
      </c>
      <c r="E82" s="3" t="n">
        <v>2070</v>
      </c>
      <c r="F82" s="2" t="s">
        <v>18</v>
      </c>
      <c r="G82" s="2" t="n">
        <v>8</v>
      </c>
      <c r="H82" s="4" t="n">
        <v>4.5</v>
      </c>
      <c r="I82" s="5" t="n">
        <v>87</v>
      </c>
      <c r="J82" s="2" t="n">
        <v>27</v>
      </c>
      <c r="K82" s="2" t="n">
        <v>12</v>
      </c>
      <c r="L82" s="2" t="s">
        <v>19</v>
      </c>
      <c r="M82" s="2" t="n">
        <v>5</v>
      </c>
      <c r="N82" s="2" t="s">
        <v>20</v>
      </c>
    </row>
    <row r="83" customFormat="false" ht="15" hidden="false" customHeight="false" outlineLevel="0" collapsed="false">
      <c r="A83" s="6" t="s">
        <v>51</v>
      </c>
      <c r="B83" s="6" t="s">
        <v>21</v>
      </c>
      <c r="C83" s="6" t="s">
        <v>22</v>
      </c>
      <c r="D83" s="6" t="s">
        <v>23</v>
      </c>
      <c r="E83" s="7" t="n">
        <v>2289</v>
      </c>
      <c r="F83" s="6" t="s">
        <v>24</v>
      </c>
      <c r="G83" s="6" t="n">
        <v>10</v>
      </c>
      <c r="H83" s="8" t="n">
        <v>4.7</v>
      </c>
      <c r="I83" s="9" t="n">
        <v>90</v>
      </c>
      <c r="J83" s="6" t="n">
        <v>25</v>
      </c>
      <c r="K83" s="6" t="n">
        <v>12</v>
      </c>
      <c r="L83" s="6" t="s">
        <v>19</v>
      </c>
      <c r="M83" s="6" t="n">
        <v>6</v>
      </c>
      <c r="N83" s="6" t="s">
        <v>20</v>
      </c>
    </row>
    <row r="84" customFormat="false" ht="15" hidden="false" customHeight="false" outlineLevel="0" collapsed="false">
      <c r="A84" s="2" t="s">
        <v>51</v>
      </c>
      <c r="B84" s="2" t="s">
        <v>25</v>
      </c>
      <c r="C84" s="2" t="s">
        <v>26</v>
      </c>
      <c r="D84" s="2" t="s">
        <v>27</v>
      </c>
      <c r="E84" s="3" t="n">
        <v>2650</v>
      </c>
      <c r="F84" s="2" t="s">
        <v>18</v>
      </c>
      <c r="G84" s="2" t="n">
        <v>10</v>
      </c>
      <c r="H84" s="4" t="n">
        <v>4.5</v>
      </c>
      <c r="I84" s="5" t="n">
        <v>93</v>
      </c>
      <c r="J84" s="2" t="n">
        <v>24</v>
      </c>
      <c r="K84" s="2" t="n">
        <v>12</v>
      </c>
      <c r="L84" s="2" t="s">
        <v>19</v>
      </c>
      <c r="M84" s="2" t="n">
        <v>2</v>
      </c>
      <c r="N84" s="2" t="s">
        <v>36</v>
      </c>
    </row>
    <row r="85" customFormat="false" ht="15" hidden="false" customHeight="false" outlineLevel="0" collapsed="false">
      <c r="A85" s="6" t="s">
        <v>51</v>
      </c>
      <c r="B85" s="6" t="s">
        <v>28</v>
      </c>
      <c r="C85" s="6" t="s">
        <v>29</v>
      </c>
      <c r="D85" s="6" t="s">
        <v>30</v>
      </c>
      <c r="E85" s="7" t="n">
        <v>2892</v>
      </c>
      <c r="F85" s="6" t="s">
        <v>18</v>
      </c>
      <c r="G85" s="6" t="n">
        <v>10</v>
      </c>
      <c r="H85" s="8" t="n">
        <v>4.6</v>
      </c>
      <c r="I85" s="9" t="n">
        <v>90</v>
      </c>
      <c r="J85" s="6" t="n">
        <v>26</v>
      </c>
      <c r="K85" s="6" t="n">
        <v>14</v>
      </c>
      <c r="L85" s="6" t="s">
        <v>19</v>
      </c>
      <c r="M85" s="6" t="n">
        <v>6</v>
      </c>
      <c r="N85" s="6" t="s">
        <v>20</v>
      </c>
    </row>
    <row r="86" customFormat="false" ht="15" hidden="false" customHeight="false" outlineLevel="0" collapsed="false">
      <c r="A86" s="2" t="s">
        <v>51</v>
      </c>
      <c r="B86" s="2" t="s">
        <v>31</v>
      </c>
      <c r="C86" s="2" t="s">
        <v>32</v>
      </c>
      <c r="D86" s="2" t="s">
        <v>17</v>
      </c>
      <c r="E86" s="3" t="n">
        <v>3035</v>
      </c>
      <c r="F86" s="2" t="s">
        <v>24</v>
      </c>
      <c r="G86" s="2" t="n">
        <v>10</v>
      </c>
      <c r="H86" s="4" t="n">
        <v>4.5</v>
      </c>
      <c r="I86" s="5" t="n">
        <v>92</v>
      </c>
      <c r="J86" s="2" t="n">
        <v>25</v>
      </c>
      <c r="K86" s="2" t="n">
        <v>13</v>
      </c>
      <c r="L86" s="2" t="s">
        <v>33</v>
      </c>
      <c r="M86" s="2" t="n">
        <v>2</v>
      </c>
      <c r="N86" s="2" t="s">
        <v>20</v>
      </c>
    </row>
    <row r="87" customFormat="false" ht="15" hidden="false" customHeight="false" outlineLevel="0" collapsed="false">
      <c r="A87" s="6" t="s">
        <v>51</v>
      </c>
      <c r="B87" s="6" t="s">
        <v>34</v>
      </c>
      <c r="C87" s="6" t="s">
        <v>35</v>
      </c>
      <c r="D87" s="6" t="s">
        <v>27</v>
      </c>
      <c r="E87" s="7" t="n">
        <v>3334</v>
      </c>
      <c r="F87" s="6" t="s">
        <v>18</v>
      </c>
      <c r="G87" s="6" t="n">
        <v>10</v>
      </c>
      <c r="H87" s="8" t="n">
        <v>4.7</v>
      </c>
      <c r="I87" s="9" t="n">
        <v>89</v>
      </c>
      <c r="J87" s="6" t="n">
        <v>27</v>
      </c>
      <c r="K87" s="6" t="n">
        <v>13</v>
      </c>
      <c r="L87" s="6" t="s">
        <v>19</v>
      </c>
      <c r="M87" s="6" t="n">
        <v>2</v>
      </c>
      <c r="N87" s="6" t="s">
        <v>20</v>
      </c>
    </row>
    <row r="88" customFormat="false" ht="15" hidden="false" customHeight="false" outlineLevel="0" collapsed="false">
      <c r="A88" s="2" t="s">
        <v>51</v>
      </c>
      <c r="B88" s="2" t="s">
        <v>37</v>
      </c>
      <c r="C88" s="2" t="s">
        <v>38</v>
      </c>
      <c r="D88" s="2" t="s">
        <v>23</v>
      </c>
      <c r="E88" s="3" t="n">
        <v>3426</v>
      </c>
      <c r="F88" s="2" t="s">
        <v>18</v>
      </c>
      <c r="G88" s="2" t="n">
        <v>9</v>
      </c>
      <c r="H88" s="4" t="n">
        <v>4.5</v>
      </c>
      <c r="I88" s="5" t="n">
        <v>90</v>
      </c>
      <c r="J88" s="2" t="n">
        <v>26</v>
      </c>
      <c r="K88" s="2" t="n">
        <v>12</v>
      </c>
      <c r="L88" s="2" t="s">
        <v>19</v>
      </c>
      <c r="M88" s="2" t="n">
        <v>4</v>
      </c>
      <c r="N88" s="2" t="s">
        <v>20</v>
      </c>
    </row>
    <row r="89" customFormat="false" ht="15" hidden="false" customHeight="false" outlineLevel="0" collapsed="false">
      <c r="A89" s="6" t="s">
        <v>51</v>
      </c>
      <c r="B89" s="6" t="s">
        <v>39</v>
      </c>
      <c r="C89" s="6" t="s">
        <v>40</v>
      </c>
      <c r="D89" s="6" t="s">
        <v>30</v>
      </c>
      <c r="E89" s="7" t="n">
        <v>3741</v>
      </c>
      <c r="F89" s="6" t="s">
        <v>41</v>
      </c>
      <c r="G89" s="6" t="n">
        <v>9</v>
      </c>
      <c r="H89" s="8" t="n">
        <v>4.6</v>
      </c>
      <c r="I89" s="9" t="n">
        <v>90</v>
      </c>
      <c r="J89" s="6" t="n">
        <v>24</v>
      </c>
      <c r="K89" s="6" t="n">
        <v>13</v>
      </c>
      <c r="L89" s="6" t="s">
        <v>33</v>
      </c>
      <c r="M89" s="6" t="n">
        <v>4</v>
      </c>
      <c r="N89" s="6" t="s">
        <v>20</v>
      </c>
    </row>
    <row r="90" customFormat="false" ht="15" hidden="false" customHeight="false" outlineLevel="0" collapsed="false">
      <c r="A90" s="2" t="s">
        <v>52</v>
      </c>
      <c r="B90" s="2" t="s">
        <v>15</v>
      </c>
      <c r="C90" s="2" t="s">
        <v>16</v>
      </c>
      <c r="D90" s="2" t="s">
        <v>17</v>
      </c>
      <c r="E90" s="3" t="n">
        <v>2240</v>
      </c>
      <c r="F90" s="2" t="s">
        <v>18</v>
      </c>
      <c r="G90" s="2" t="n">
        <v>10</v>
      </c>
      <c r="H90" s="4" t="n">
        <v>4.8</v>
      </c>
      <c r="I90" s="5" t="n">
        <v>94</v>
      </c>
      <c r="J90" s="2" t="n">
        <v>29</v>
      </c>
      <c r="K90" s="2" t="n">
        <v>15</v>
      </c>
      <c r="L90" s="2" t="s">
        <v>19</v>
      </c>
      <c r="M90" s="2" t="n">
        <v>4</v>
      </c>
      <c r="N90" s="2" t="s">
        <v>20</v>
      </c>
    </row>
    <row r="91" customFormat="false" ht="15" hidden="false" customHeight="false" outlineLevel="0" collapsed="false">
      <c r="A91" s="6" t="s">
        <v>52</v>
      </c>
      <c r="B91" s="6" t="s">
        <v>21</v>
      </c>
      <c r="C91" s="6" t="s">
        <v>22</v>
      </c>
      <c r="D91" s="6" t="s">
        <v>23</v>
      </c>
      <c r="E91" s="7" t="n">
        <v>2602</v>
      </c>
      <c r="F91" s="6" t="s">
        <v>24</v>
      </c>
      <c r="G91" s="6" t="n">
        <v>8</v>
      </c>
      <c r="H91" s="8" t="n">
        <v>4.7</v>
      </c>
      <c r="I91" s="9" t="n">
        <v>94</v>
      </c>
      <c r="J91" s="6" t="n">
        <v>27</v>
      </c>
      <c r="K91" s="6" t="n">
        <v>13</v>
      </c>
      <c r="L91" s="6" t="s">
        <v>19</v>
      </c>
      <c r="M91" s="6" t="n">
        <v>5</v>
      </c>
      <c r="N91" s="6" t="s">
        <v>20</v>
      </c>
    </row>
    <row r="92" customFormat="false" ht="15" hidden="false" customHeight="false" outlineLevel="0" collapsed="false">
      <c r="A92" s="2" t="s">
        <v>52</v>
      </c>
      <c r="B92" s="2" t="s">
        <v>25</v>
      </c>
      <c r="C92" s="2" t="s">
        <v>26</v>
      </c>
      <c r="D92" s="2" t="s">
        <v>27</v>
      </c>
      <c r="E92" s="3" t="n">
        <v>2656</v>
      </c>
      <c r="F92" s="2" t="s">
        <v>18</v>
      </c>
      <c r="G92" s="2" t="n">
        <v>9</v>
      </c>
      <c r="H92" s="4" t="n">
        <v>4.8</v>
      </c>
      <c r="I92" s="5" t="n">
        <v>92</v>
      </c>
      <c r="J92" s="2" t="n">
        <v>29</v>
      </c>
      <c r="K92" s="2" t="n">
        <v>13</v>
      </c>
      <c r="L92" s="2" t="s">
        <v>19</v>
      </c>
      <c r="M92" s="2" t="n">
        <v>4</v>
      </c>
      <c r="N92" s="2" t="s">
        <v>20</v>
      </c>
    </row>
    <row r="93" customFormat="false" ht="15" hidden="false" customHeight="false" outlineLevel="0" collapsed="false">
      <c r="A93" s="6" t="s">
        <v>52</v>
      </c>
      <c r="B93" s="6" t="s">
        <v>28</v>
      </c>
      <c r="C93" s="6" t="s">
        <v>29</v>
      </c>
      <c r="D93" s="6" t="s">
        <v>30</v>
      </c>
      <c r="E93" s="7" t="n">
        <v>2915</v>
      </c>
      <c r="F93" s="6" t="s">
        <v>18</v>
      </c>
      <c r="G93" s="6" t="n">
        <v>10</v>
      </c>
      <c r="H93" s="8" t="n">
        <v>4.7</v>
      </c>
      <c r="I93" s="9" t="n">
        <v>93</v>
      </c>
      <c r="J93" s="6" t="n">
        <v>30</v>
      </c>
      <c r="K93" s="6" t="n">
        <v>14</v>
      </c>
      <c r="L93" s="6" t="s">
        <v>19</v>
      </c>
      <c r="M93" s="6" t="n">
        <v>3</v>
      </c>
      <c r="N93" s="6" t="s">
        <v>20</v>
      </c>
    </row>
    <row r="94" customFormat="false" ht="15" hidden="false" customHeight="false" outlineLevel="0" collapsed="false">
      <c r="A94" s="2" t="s">
        <v>52</v>
      </c>
      <c r="B94" s="2" t="s">
        <v>31</v>
      </c>
      <c r="C94" s="2" t="s">
        <v>32</v>
      </c>
      <c r="D94" s="2" t="s">
        <v>17</v>
      </c>
      <c r="E94" s="3" t="n">
        <v>3040</v>
      </c>
      <c r="F94" s="2" t="s">
        <v>24</v>
      </c>
      <c r="G94" s="2" t="n">
        <v>10</v>
      </c>
      <c r="H94" s="4" t="n">
        <v>4.7</v>
      </c>
      <c r="I94" s="5" t="n">
        <v>95</v>
      </c>
      <c r="J94" s="2" t="n">
        <v>27</v>
      </c>
      <c r="K94" s="2" t="n">
        <v>14</v>
      </c>
      <c r="L94" s="2" t="s">
        <v>33</v>
      </c>
      <c r="M94" s="2" t="n">
        <v>5</v>
      </c>
      <c r="N94" s="2" t="s">
        <v>20</v>
      </c>
    </row>
    <row r="95" customFormat="false" ht="15" hidden="false" customHeight="false" outlineLevel="0" collapsed="false">
      <c r="A95" s="6" t="s">
        <v>52</v>
      </c>
      <c r="B95" s="6" t="s">
        <v>34</v>
      </c>
      <c r="C95" s="6" t="s">
        <v>35</v>
      </c>
      <c r="D95" s="6" t="s">
        <v>27</v>
      </c>
      <c r="E95" s="7" t="n">
        <v>3490</v>
      </c>
      <c r="F95" s="6" t="s">
        <v>18</v>
      </c>
      <c r="G95" s="6" t="n">
        <v>8</v>
      </c>
      <c r="H95" s="8" t="n">
        <v>4.6</v>
      </c>
      <c r="I95" s="9" t="n">
        <v>92</v>
      </c>
      <c r="J95" s="6" t="n">
        <v>29</v>
      </c>
      <c r="K95" s="6" t="n">
        <v>15</v>
      </c>
      <c r="L95" s="6" t="s">
        <v>19</v>
      </c>
      <c r="M95" s="6" t="n">
        <v>6</v>
      </c>
      <c r="N95" s="6" t="s">
        <v>20</v>
      </c>
    </row>
    <row r="96" customFormat="false" ht="15" hidden="false" customHeight="false" outlineLevel="0" collapsed="false">
      <c r="A96" s="2" t="s">
        <v>52</v>
      </c>
      <c r="B96" s="2" t="s">
        <v>37</v>
      </c>
      <c r="C96" s="2" t="s">
        <v>38</v>
      </c>
      <c r="D96" s="2" t="s">
        <v>23</v>
      </c>
      <c r="E96" s="3" t="n">
        <v>3704</v>
      </c>
      <c r="F96" s="2" t="s">
        <v>18</v>
      </c>
      <c r="G96" s="2" t="n">
        <v>10</v>
      </c>
      <c r="H96" s="4" t="n">
        <v>4.7</v>
      </c>
      <c r="I96" s="5" t="n">
        <v>94</v>
      </c>
      <c r="J96" s="2" t="n">
        <v>30</v>
      </c>
      <c r="K96" s="2" t="n">
        <v>15</v>
      </c>
      <c r="L96" s="2" t="s">
        <v>19</v>
      </c>
      <c r="M96" s="2" t="n">
        <v>5</v>
      </c>
      <c r="N96" s="2" t="s">
        <v>20</v>
      </c>
    </row>
    <row r="97" customFormat="false" ht="15" hidden="false" customHeight="false" outlineLevel="0" collapsed="false">
      <c r="A97" s="6" t="s">
        <v>52</v>
      </c>
      <c r="B97" s="6" t="s">
        <v>39</v>
      </c>
      <c r="C97" s="6" t="s">
        <v>40</v>
      </c>
      <c r="D97" s="6" t="s">
        <v>30</v>
      </c>
      <c r="E97" s="7" t="n">
        <v>3899</v>
      </c>
      <c r="F97" s="6" t="s">
        <v>41</v>
      </c>
      <c r="G97" s="6" t="n">
        <v>9</v>
      </c>
      <c r="H97" s="8" t="n">
        <v>4.6</v>
      </c>
      <c r="I97" s="9" t="n">
        <v>96</v>
      </c>
      <c r="J97" s="6" t="n">
        <v>27</v>
      </c>
      <c r="K97" s="6" t="n">
        <v>13</v>
      </c>
      <c r="L97" s="6" t="s">
        <v>33</v>
      </c>
      <c r="M97" s="6" t="n">
        <v>6</v>
      </c>
      <c r="N97" s="6" t="s">
        <v>36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8" min="6" style="0" width="13"/>
    <col collapsed="false" customWidth="true" hidden="false" outlineLevel="0" max="9" min="9" style="0" width="14"/>
  </cols>
  <sheetData>
    <row r="1" customFormat="false" ht="43.5" hidden="false" customHeight="true" outlineLevel="0" collapsed="false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21.75" hidden="false" customHeight="true" outlineLevel="0" collapsed="false">
      <c r="A2" s="11" t="s">
        <v>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customFormat="false" ht="21.75" hidden="false" customHeight="true" outlineLevel="0" collapsed="false">
      <c r="A4" s="12" t="s">
        <v>55</v>
      </c>
      <c r="B4" s="12"/>
      <c r="C4" s="12"/>
      <c r="D4" s="13" t="s">
        <v>56</v>
      </c>
      <c r="E4" s="13"/>
      <c r="F4" s="13"/>
      <c r="G4" s="14" t="s">
        <v>57</v>
      </c>
      <c r="H4" s="14"/>
      <c r="I4" s="14"/>
      <c r="J4" s="15" t="s">
        <v>58</v>
      </c>
      <c r="K4" s="15"/>
      <c r="L4" s="15"/>
    </row>
    <row r="5" customFormat="false" ht="36" hidden="false" customHeight="true" outlineLevel="0" collapsed="false">
      <c r="A5" s="16" t="n">
        <f aca="false">SUMIF('Raw Data'!A:A,"*",'Raw Data'!E:E)</f>
        <v>210260</v>
      </c>
      <c r="B5" s="16"/>
      <c r="C5" s="16"/>
      <c r="D5" s="17" t="n">
        <f aca="false">AVERAGE('Raw Data'!H:H)</f>
        <v>4.13645833333333</v>
      </c>
      <c r="E5" s="17"/>
      <c r="F5" s="17"/>
      <c r="G5" s="18" t="n">
        <f aca="false">AVERAGE('Raw Data'!G:G)</f>
        <v>13.1979166666667</v>
      </c>
      <c r="H5" s="18"/>
      <c r="I5" s="18"/>
      <c r="J5" s="19" t="n">
        <v>8</v>
      </c>
      <c r="K5" s="19"/>
      <c r="L5" s="19"/>
    </row>
    <row r="6" customFormat="false" ht="21.75" hidden="false" customHeight="true" outlineLevel="0" collapsed="false">
      <c r="A6" s="20" t="s">
        <v>59</v>
      </c>
      <c r="B6" s="20"/>
      <c r="C6" s="20"/>
      <c r="D6" s="20" t="s">
        <v>60</v>
      </c>
      <c r="E6" s="20"/>
      <c r="F6" s="20"/>
      <c r="G6" s="20" t="s">
        <v>61</v>
      </c>
      <c r="H6" s="20"/>
      <c r="I6" s="20"/>
      <c r="J6" s="20" t="s">
        <v>62</v>
      </c>
      <c r="K6" s="20"/>
      <c r="L6" s="20"/>
    </row>
    <row r="9" customFormat="false" ht="27.75" hidden="false" customHeight="true" outlineLevel="0" collapsed="false">
      <c r="A9" s="21" t="s">
        <v>63</v>
      </c>
      <c r="B9" s="21"/>
      <c r="C9" s="21"/>
      <c r="D9" s="21"/>
      <c r="E9" s="21"/>
      <c r="F9" s="21"/>
      <c r="G9" s="21"/>
      <c r="H9" s="21"/>
      <c r="I9" s="21"/>
    </row>
    <row r="10" customFormat="false" ht="23.85" hidden="false" customHeight="false" outlineLevel="0" collapsed="false">
      <c r="A10" s="22" t="s">
        <v>0</v>
      </c>
      <c r="B10" s="22" t="s">
        <v>4</v>
      </c>
      <c r="C10" s="22" t="s">
        <v>57</v>
      </c>
      <c r="D10" s="22" t="s">
        <v>56</v>
      </c>
      <c r="E10" s="22" t="s">
        <v>64</v>
      </c>
      <c r="F10" s="22" t="s">
        <v>9</v>
      </c>
      <c r="G10" s="22" t="s">
        <v>10</v>
      </c>
      <c r="H10" s="22" t="s">
        <v>65</v>
      </c>
      <c r="I10" s="22" t="s">
        <v>66</v>
      </c>
    </row>
    <row r="11" customFormat="false" ht="21.75" hidden="false" customHeight="true" outlineLevel="0" collapsed="false">
      <c r="A11" s="23" t="s">
        <v>14</v>
      </c>
      <c r="B11" s="24" t="n">
        <f aca="false">SUMPRODUCT(('Raw Data'!A$2:A$1000="Mar-25")*'Raw Data'!E$2:E$1000)</f>
        <v>9486</v>
      </c>
      <c r="C11" s="25" t="n">
        <f aca="false">AVERAGEIF('Raw Data'!A:A,"Mar-25",'Raw Data'!G:G)</f>
        <v>17.875</v>
      </c>
      <c r="D11" s="26" t="n">
        <f aca="false">AVERAGEIF('Raw Data'!A:A,"Mar-25",'Raw Data'!H:H)</f>
        <v>3.6125</v>
      </c>
      <c r="E11" s="25" t="n">
        <f aca="false">AVERAGEIF('Raw Data'!A:A,"Mar-25",'Raw Data'!I:I)</f>
        <v>63.625</v>
      </c>
      <c r="F11" s="24" t="n">
        <f aca="false">SUMIF('Raw Data'!A:A,"Mar-25",'Raw Data'!J:J)</f>
        <v>93</v>
      </c>
      <c r="G11" s="24" t="n">
        <f aca="false">SUMIF('Raw Data'!A:A,"Mar-25",'Raw Data'!K:K)</f>
        <v>39</v>
      </c>
      <c r="H11" s="27" t="n">
        <f aca="false">G11/F11</f>
        <v>0.419354838709677</v>
      </c>
      <c r="I11" s="27"/>
    </row>
    <row r="12" customFormat="false" ht="21.75" hidden="false" customHeight="true" outlineLevel="0" collapsed="false">
      <c r="A12" s="28" t="s">
        <v>42</v>
      </c>
      <c r="B12" s="29" t="n">
        <f aca="false">SUMPRODUCT(('Raw Data'!A$2:A$1000="Apr-25")*'Raw Data'!E$2:E$1000)</f>
        <v>10812</v>
      </c>
      <c r="C12" s="30" t="n">
        <f aca="false">AVERAGEIF('Raw Data'!A:A,"Apr-25",'Raw Data'!G:G)</f>
        <v>16.875</v>
      </c>
      <c r="D12" s="31" t="n">
        <f aca="false">AVERAGEIF('Raw Data'!A:A,"Apr-25",'Raw Data'!H:H)</f>
        <v>3.7</v>
      </c>
      <c r="E12" s="30" t="n">
        <f aca="false">AVERAGEIF('Raw Data'!A:A,"Apr-25",'Raw Data'!I:I)</f>
        <v>68.5</v>
      </c>
      <c r="F12" s="29" t="n">
        <f aca="false">SUMIF('Raw Data'!A:A,"Apr-25",'Raw Data'!J:J)</f>
        <v>108</v>
      </c>
      <c r="G12" s="29" t="n">
        <f aca="false">SUMIF('Raw Data'!A:A,"Apr-25",'Raw Data'!K:K)</f>
        <v>49</v>
      </c>
      <c r="H12" s="32" t="n">
        <f aca="false">G12/F12</f>
        <v>0.453703703703704</v>
      </c>
      <c r="I12" s="32" t="n">
        <f aca="false">(B12-B11)/B11</f>
        <v>0.139784946236559</v>
      </c>
    </row>
    <row r="13" customFormat="false" ht="21.75" hidden="false" customHeight="true" outlineLevel="0" collapsed="false">
      <c r="A13" s="23" t="s">
        <v>43</v>
      </c>
      <c r="B13" s="24" t="n">
        <f aca="false">SUMPRODUCT(('Raw Data'!A$2:A$1000="May-25")*'Raw Data'!E$2:E$1000)</f>
        <v>12819</v>
      </c>
      <c r="C13" s="25" t="n">
        <f aca="false">AVERAGEIF('Raw Data'!A:A,"May-25",'Raw Data'!G:G)</f>
        <v>16.25</v>
      </c>
      <c r="D13" s="26" t="n">
        <f aca="false">AVERAGEIF('Raw Data'!A:A,"May-25",'Raw Data'!H:H)</f>
        <v>3.7875</v>
      </c>
      <c r="E13" s="25" t="n">
        <f aca="false">AVERAGEIF('Raw Data'!A:A,"May-25",'Raw Data'!I:I)</f>
        <v>72.5</v>
      </c>
      <c r="F13" s="24" t="n">
        <f aca="false">SUMIF('Raw Data'!A:A,"May-25",'Raw Data'!J:J)</f>
        <v>121</v>
      </c>
      <c r="G13" s="24" t="n">
        <f aca="false">SUMIF('Raw Data'!A:A,"May-25",'Raw Data'!K:K)</f>
        <v>62</v>
      </c>
      <c r="H13" s="27" t="n">
        <f aca="false">G13/F13</f>
        <v>0.512396694214876</v>
      </c>
      <c r="I13" s="27" t="n">
        <f aca="false">(B13-B12)/B12</f>
        <v>0.185627081021088</v>
      </c>
    </row>
    <row r="14" customFormat="false" ht="21.75" hidden="false" customHeight="true" outlineLevel="0" collapsed="false">
      <c r="A14" s="28" t="s">
        <v>44</v>
      </c>
      <c r="B14" s="29" t="n">
        <f aca="false">SUMPRODUCT(('Raw Data'!A$2:A$1000="Jun-25")*'Raw Data'!E$2:E$1000)</f>
        <v>13752</v>
      </c>
      <c r="C14" s="30" t="n">
        <f aca="false">AVERAGEIF('Raw Data'!A:A,"Jun-25",'Raw Data'!G:G)</f>
        <v>14.875</v>
      </c>
      <c r="D14" s="31" t="n">
        <f aca="false">AVERAGEIF('Raw Data'!A:A,"Jun-25",'Raw Data'!H:H)</f>
        <v>3.8875</v>
      </c>
      <c r="E14" s="30" t="n">
        <f aca="false">AVERAGEIF('Raw Data'!A:A,"Jun-25",'Raw Data'!I:I)</f>
        <v>75.25</v>
      </c>
      <c r="F14" s="29" t="n">
        <f aca="false">SUMIF('Raw Data'!A:A,"Jun-25",'Raw Data'!J:J)</f>
        <v>127</v>
      </c>
      <c r="G14" s="29" t="n">
        <f aca="false">SUMIF('Raw Data'!A:A,"Jun-25",'Raw Data'!K:K)</f>
        <v>56</v>
      </c>
      <c r="H14" s="32" t="n">
        <f aca="false">G14/F14</f>
        <v>0.440944881889764</v>
      </c>
      <c r="I14" s="32" t="n">
        <f aca="false">(B14-B13)/B13</f>
        <v>0.0727825883454248</v>
      </c>
    </row>
    <row r="15" customFormat="false" ht="21.75" hidden="false" customHeight="true" outlineLevel="0" collapsed="false">
      <c r="A15" s="23" t="s">
        <v>45</v>
      </c>
      <c r="B15" s="24" t="n">
        <f aca="false">SUMPRODUCT(('Raw Data'!A$2:A$1000="Jul-25")*'Raw Data'!E$2:E$1000)</f>
        <v>15806</v>
      </c>
      <c r="C15" s="25" t="n">
        <f aca="false">AVERAGEIF('Raw Data'!A:A,"Jul-25",'Raw Data'!G:G)</f>
        <v>14.25</v>
      </c>
      <c r="D15" s="26" t="n">
        <f aca="false">AVERAGEIF('Raw Data'!A:A,"Jul-25",'Raw Data'!H:H)</f>
        <v>3.975</v>
      </c>
      <c r="E15" s="25" t="n">
        <f aca="false">AVERAGEIF('Raw Data'!A:A,"Jul-25",'Raw Data'!I:I)</f>
        <v>78.75</v>
      </c>
      <c r="F15" s="24" t="n">
        <f aca="false">SUMIF('Raw Data'!A:A,"Jul-25",'Raw Data'!J:J)</f>
        <v>140</v>
      </c>
      <c r="G15" s="24" t="n">
        <f aca="false">SUMIF('Raw Data'!A:A,"Jul-25",'Raw Data'!K:K)</f>
        <v>67</v>
      </c>
      <c r="H15" s="27" t="n">
        <f aca="false">G15/F15</f>
        <v>0.478571428571429</v>
      </c>
      <c r="I15" s="27" t="n">
        <f aca="false">(B15-B14)/B14</f>
        <v>0.149360093077371</v>
      </c>
    </row>
    <row r="16" customFormat="false" ht="21.75" hidden="false" customHeight="true" outlineLevel="0" collapsed="false">
      <c r="A16" s="28" t="s">
        <v>46</v>
      </c>
      <c r="B16" s="29" t="n">
        <f aca="false">SUMPRODUCT(('Raw Data'!A$2:A$1000="Aug-25")*'Raw Data'!E$2:E$1000)</f>
        <v>18052</v>
      </c>
      <c r="C16" s="30" t="n">
        <f aca="false">AVERAGEIF('Raw Data'!A:A,"Aug-25",'Raw Data'!G:G)</f>
        <v>12.875</v>
      </c>
      <c r="D16" s="31" t="n">
        <f aca="false">AVERAGEIF('Raw Data'!A:A,"Aug-25",'Raw Data'!H:H)</f>
        <v>4.1125</v>
      </c>
      <c r="E16" s="30" t="n">
        <f aca="false">AVERAGEIF('Raw Data'!A:A,"Aug-25",'Raw Data'!I:I)</f>
        <v>82.375</v>
      </c>
      <c r="F16" s="29" t="n">
        <f aca="false">SUMIF('Raw Data'!A:A,"Aug-25",'Raw Data'!J:J)</f>
        <v>156</v>
      </c>
      <c r="G16" s="29" t="n">
        <f aca="false">SUMIF('Raw Data'!A:A,"Aug-25",'Raw Data'!K:K)</f>
        <v>76</v>
      </c>
      <c r="H16" s="32" t="n">
        <f aca="false">G16/F16</f>
        <v>0.487179487179487</v>
      </c>
      <c r="I16" s="32" t="n">
        <f aca="false">(B16-B15)/B15</f>
        <v>0.142097937492092</v>
      </c>
    </row>
    <row r="17" customFormat="false" ht="21.75" hidden="false" customHeight="true" outlineLevel="0" collapsed="false">
      <c r="A17" s="23" t="s">
        <v>47</v>
      </c>
      <c r="B17" s="24" t="n">
        <f aca="false">SUMPRODUCT(('Raw Data'!A$2:A$1000="Sep-25")*'Raw Data'!E$2:E$1000)</f>
        <v>17112</v>
      </c>
      <c r="C17" s="25" t="n">
        <f aca="false">AVERAGEIF('Raw Data'!A:A,"Sep-25",'Raw Data'!G:G)</f>
        <v>13.125</v>
      </c>
      <c r="D17" s="26" t="n">
        <f aca="false">AVERAGEIF('Raw Data'!A:A,"Sep-25",'Raw Data'!H:H)</f>
        <v>4.0875</v>
      </c>
      <c r="E17" s="25" t="n">
        <f aca="false">AVERAGEIF('Raw Data'!A:A,"Sep-25",'Raw Data'!I:I)</f>
        <v>80</v>
      </c>
      <c r="F17" s="24" t="n">
        <f aca="false">SUMIF('Raw Data'!A:A,"Sep-25",'Raw Data'!J:J)</f>
        <v>145</v>
      </c>
      <c r="G17" s="24" t="n">
        <f aca="false">SUMIF('Raw Data'!A:A,"Sep-25",'Raw Data'!K:K)</f>
        <v>67</v>
      </c>
      <c r="H17" s="27" t="n">
        <f aca="false">G17/F17</f>
        <v>0.462068965517241</v>
      </c>
      <c r="I17" s="27" t="n">
        <f aca="false">(B17-B16)/B16</f>
        <v>-0.052071792599158</v>
      </c>
    </row>
    <row r="18" customFormat="false" ht="21.75" hidden="false" customHeight="true" outlineLevel="0" collapsed="false">
      <c r="A18" s="28" t="s">
        <v>48</v>
      </c>
      <c r="B18" s="29" t="n">
        <f aca="false">SUMPRODUCT(('Raw Data'!A$2:A$1000="Oct-25")*'Raw Data'!E$2:E$1000)</f>
        <v>19579</v>
      </c>
      <c r="C18" s="30" t="n">
        <f aca="false">AVERAGEIF('Raw Data'!A:A,"Oct-25",'Raw Data'!G:G)</f>
        <v>11.75</v>
      </c>
      <c r="D18" s="31" t="n">
        <f aca="false">AVERAGEIF('Raw Data'!A:A,"Oct-25",'Raw Data'!H:H)</f>
        <v>4.3</v>
      </c>
      <c r="E18" s="30" t="n">
        <f aca="false">AVERAGEIF('Raw Data'!A:A,"Oct-25",'Raw Data'!I:I)</f>
        <v>85.75</v>
      </c>
      <c r="F18" s="29" t="n">
        <f aca="false">SUMIF('Raw Data'!A:A,"Oct-25",'Raw Data'!J:J)</f>
        <v>181</v>
      </c>
      <c r="G18" s="29" t="n">
        <f aca="false">SUMIF('Raw Data'!A:A,"Oct-25",'Raw Data'!K:K)</f>
        <v>92</v>
      </c>
      <c r="H18" s="32" t="n">
        <f aca="false">G18/F18</f>
        <v>0.50828729281768</v>
      </c>
      <c r="I18" s="32" t="n">
        <f aca="false">(B18-B17)/B17</f>
        <v>0.14416783543712</v>
      </c>
    </row>
    <row r="19" customFormat="false" ht="21.75" hidden="false" customHeight="true" outlineLevel="0" collapsed="false">
      <c r="A19" s="23" t="s">
        <v>49</v>
      </c>
      <c r="B19" s="24" t="n">
        <f aca="false">SUMPRODUCT(('Raw Data'!A$2:A$1000="Nov-25")*'Raw Data'!E$2:E$1000)</f>
        <v>21211</v>
      </c>
      <c r="C19" s="25" t="n">
        <f aca="false">AVERAGEIF('Raw Data'!A:A,"Nov-25",'Raw Data'!G:G)</f>
        <v>11.5</v>
      </c>
      <c r="D19" s="26" t="n">
        <f aca="false">AVERAGEIF('Raw Data'!A:A,"Nov-25",'Raw Data'!H:H)</f>
        <v>4.3875</v>
      </c>
      <c r="E19" s="25" t="n">
        <f aca="false">AVERAGEIF('Raw Data'!A:A,"Nov-25",'Raw Data'!I:I)</f>
        <v>88.875</v>
      </c>
      <c r="F19" s="24" t="n">
        <f aca="false">SUMIF('Raw Data'!A:A,"Nov-25",'Raw Data'!J:J)</f>
        <v>190</v>
      </c>
      <c r="G19" s="24" t="n">
        <f aca="false">SUMIF('Raw Data'!A:A,"Nov-25",'Raw Data'!K:K)</f>
        <v>96</v>
      </c>
      <c r="H19" s="27" t="n">
        <f aca="false">G19/F19</f>
        <v>0.505263157894737</v>
      </c>
      <c r="I19" s="27" t="n">
        <f aca="false">(B19-B18)/B18</f>
        <v>0.0833546146381327</v>
      </c>
    </row>
    <row r="20" customFormat="false" ht="21.75" hidden="false" customHeight="true" outlineLevel="0" collapsed="false">
      <c r="A20" s="28" t="s">
        <v>50</v>
      </c>
      <c r="B20" s="29" t="n">
        <f aca="false">SUMPRODUCT(('Raw Data'!A$2:A$1000="Dec-25")*'Raw Data'!E$2:E$1000)</f>
        <v>23648</v>
      </c>
      <c r="C20" s="30" t="n">
        <f aca="false">AVERAGEIF('Raw Data'!A:A,"Dec-25",'Raw Data'!G:G)</f>
        <v>10.25</v>
      </c>
      <c r="D20" s="31" t="n">
        <f aca="false">AVERAGEIF('Raw Data'!A:A,"Dec-25",'Raw Data'!H:H)</f>
        <v>4.5125</v>
      </c>
      <c r="E20" s="30" t="n">
        <f aca="false">AVERAGEIF('Raw Data'!A:A,"Dec-25",'Raw Data'!I:I)</f>
        <v>90.625</v>
      </c>
      <c r="F20" s="29" t="n">
        <f aca="false">SUMIF('Raw Data'!A:A,"Dec-25",'Raw Data'!J:J)</f>
        <v>208</v>
      </c>
      <c r="G20" s="29" t="n">
        <f aca="false">SUMIF('Raw Data'!A:A,"Dec-25",'Raw Data'!K:K)</f>
        <v>106</v>
      </c>
      <c r="H20" s="32" t="n">
        <f aca="false">G20/F20</f>
        <v>0.509615384615385</v>
      </c>
      <c r="I20" s="32" t="n">
        <f aca="false">(B20-B19)/B19</f>
        <v>0.114893215784263</v>
      </c>
    </row>
    <row r="21" customFormat="false" ht="21.75" hidden="false" customHeight="true" outlineLevel="0" collapsed="false">
      <c r="A21" s="23" t="s">
        <v>51</v>
      </c>
      <c r="B21" s="24" t="n">
        <f aca="false">SUMPRODUCT(('Raw Data'!A$2:A$1000="Jan-26")*'Raw Data'!E$2:E$1000)</f>
        <v>23437</v>
      </c>
      <c r="C21" s="25" t="n">
        <f aca="false">AVERAGEIF('Raw Data'!A:A,"Jan-26",'Raw Data'!G:G)</f>
        <v>9.5</v>
      </c>
      <c r="D21" s="26" t="n">
        <f aca="false">AVERAGEIF('Raw Data'!A:A,"Jan-26",'Raw Data'!H:H)</f>
        <v>4.575</v>
      </c>
      <c r="E21" s="25" t="n">
        <f aca="false">AVERAGEIF('Raw Data'!A:A,"Jan-26",'Raw Data'!I:I)</f>
        <v>90.125</v>
      </c>
      <c r="F21" s="24" t="n">
        <f aca="false">SUMIF('Raw Data'!A:A,"Jan-26",'Raw Data'!J:J)</f>
        <v>204</v>
      </c>
      <c r="G21" s="24" t="n">
        <f aca="false">SUMIF('Raw Data'!A:A,"Jan-26",'Raw Data'!K:K)</f>
        <v>101</v>
      </c>
      <c r="H21" s="27" t="n">
        <f aca="false">G21/F21</f>
        <v>0.495098039215686</v>
      </c>
      <c r="I21" s="27" t="n">
        <f aca="false">(B21-B20)/B20</f>
        <v>-0.00892253044654939</v>
      </c>
    </row>
    <row r="22" customFormat="false" ht="21.75" hidden="false" customHeight="true" outlineLevel="0" collapsed="false">
      <c r="A22" s="28" t="s">
        <v>52</v>
      </c>
      <c r="B22" s="29" t="n">
        <f aca="false">SUMPRODUCT(('Raw Data'!A$2:A$1000="Feb-26")*'Raw Data'!E$2:E$1000)</f>
        <v>24546</v>
      </c>
      <c r="C22" s="30" t="n">
        <f aca="false">AVERAGEIF('Raw Data'!A:A,"Feb-26",'Raw Data'!G:G)</f>
        <v>9.25</v>
      </c>
      <c r="D22" s="31" t="n">
        <f aca="false">AVERAGEIF('Raw Data'!A:A,"Feb-26",'Raw Data'!H:H)</f>
        <v>4.7</v>
      </c>
      <c r="E22" s="30" t="n">
        <f aca="false">AVERAGEIF('Raw Data'!A:A,"Feb-26",'Raw Data'!I:I)</f>
        <v>93.75</v>
      </c>
      <c r="F22" s="29" t="n">
        <f aca="false">SUMIF('Raw Data'!A:A,"Feb-26",'Raw Data'!J:J)</f>
        <v>228</v>
      </c>
      <c r="G22" s="29" t="n">
        <f aca="false">SUMIF('Raw Data'!A:A,"Feb-26",'Raw Data'!K:K)</f>
        <v>112</v>
      </c>
      <c r="H22" s="32" t="n">
        <f aca="false">G22/F22</f>
        <v>0.491228070175439</v>
      </c>
      <c r="I22" s="32" t="n">
        <f aca="false">(B22-B21)/B21</f>
        <v>0.0473183427913129</v>
      </c>
    </row>
    <row r="23" customFormat="false" ht="24" hidden="false" customHeight="true" outlineLevel="0" collapsed="false">
      <c r="A23" s="33" t="s">
        <v>67</v>
      </c>
      <c r="B23" s="34" t="n">
        <f aca="false">SUM(B11:B22)</f>
        <v>210260</v>
      </c>
      <c r="C23" s="35" t="n">
        <f aca="false">AVERAGE(C11:C22)</f>
        <v>13.1979166666667</v>
      </c>
      <c r="D23" s="36" t="n">
        <f aca="false">AVERAGE(D11:D22)</f>
        <v>4.13645833333333</v>
      </c>
      <c r="E23" s="35" t="n">
        <f aca="false">AVERAGE(E11:E22)</f>
        <v>80.84375</v>
      </c>
      <c r="F23" s="34" t="n">
        <f aca="false">SUM(F11:F22)</f>
        <v>1901</v>
      </c>
      <c r="G23" s="34" t="n">
        <f aca="false">SUM(G11:G22)</f>
        <v>923</v>
      </c>
      <c r="H23" s="37" t="n">
        <f aca="false">G23/F23</f>
        <v>0.485533929510784</v>
      </c>
      <c r="I23" s="37" t="n">
        <f aca="false">(B22-B11)/B11</f>
        <v>1.5876027830487</v>
      </c>
    </row>
  </sheetData>
  <mergeCells count="15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36" hidden="false" customHeight="true" outlineLevel="0" collapsed="false">
      <c r="A1" s="38" t="s">
        <v>68</v>
      </c>
      <c r="B1" s="38"/>
      <c r="C1" s="38"/>
      <c r="D1" s="38"/>
      <c r="E1" s="38"/>
      <c r="F1" s="38"/>
      <c r="G1" s="38"/>
      <c r="H1" s="38"/>
      <c r="I1" s="38"/>
    </row>
    <row r="3" customFormat="false" ht="15" hidden="false" customHeight="false" outlineLevel="0" collapsed="false">
      <c r="A3" s="22" t="s">
        <v>1</v>
      </c>
      <c r="B3" s="22" t="s">
        <v>2</v>
      </c>
      <c r="C3" s="22" t="s">
        <v>3</v>
      </c>
      <c r="D3" s="22" t="s">
        <v>69</v>
      </c>
      <c r="E3" s="22" t="s">
        <v>70</v>
      </c>
      <c r="F3" s="22" t="s">
        <v>56</v>
      </c>
      <c r="G3" s="22" t="s">
        <v>71</v>
      </c>
      <c r="H3" s="22" t="s">
        <v>11</v>
      </c>
      <c r="I3" s="22" t="s">
        <v>72</v>
      </c>
    </row>
    <row r="4" customFormat="false" ht="24" hidden="false" customHeight="true" outlineLevel="0" collapsed="false">
      <c r="A4" s="23" t="s">
        <v>15</v>
      </c>
      <c r="B4" s="23" t="s">
        <v>16</v>
      </c>
      <c r="C4" s="23" t="s">
        <v>17</v>
      </c>
      <c r="D4" s="24" t="n">
        <f aca="false">SUMIF('Raw Data'!B:B,"Adila Apparels",'Raw Data'!E:E)</f>
        <v>18728</v>
      </c>
      <c r="E4" s="39" t="s">
        <v>73</v>
      </c>
      <c r="F4" s="26" t="n">
        <f aca="false">AVERAGEIF('Raw Data'!B:B,"Adila Apparels",'Raw Data'!H:H)</f>
        <v>4.11666666666667</v>
      </c>
      <c r="G4" s="25" t="n">
        <f aca="false">AVERAGEIF('Raw Data'!B:B,"Adila Apparels",'Raw Data'!I:I)</f>
        <v>80.6666666666667</v>
      </c>
      <c r="H4" s="23" t="s">
        <v>19</v>
      </c>
      <c r="I4" s="40" t="s">
        <v>18</v>
      </c>
    </row>
    <row r="5" customFormat="false" ht="24" hidden="false" customHeight="true" outlineLevel="0" collapsed="false">
      <c r="A5" s="28" t="s">
        <v>21</v>
      </c>
      <c r="B5" s="28" t="s">
        <v>22</v>
      </c>
      <c r="C5" s="28" t="s">
        <v>23</v>
      </c>
      <c r="D5" s="29" t="n">
        <f aca="false">SUMIF('Raw Data'!B:B,"Chai Break",'Raw Data'!E:E)</f>
        <v>21196</v>
      </c>
      <c r="E5" s="41" t="s">
        <v>73</v>
      </c>
      <c r="F5" s="31" t="n">
        <f aca="false">AVERAGEIF('Raw Data'!B:B,"Chai Break",'Raw Data'!H:H)</f>
        <v>4.14166666666667</v>
      </c>
      <c r="G5" s="30" t="n">
        <f aca="false">AVERAGEIF('Raw Data'!B:B,"Chai Break",'Raw Data'!I:I)</f>
        <v>80.4166666666667</v>
      </c>
      <c r="H5" s="28" t="s">
        <v>19</v>
      </c>
      <c r="I5" s="42" t="s">
        <v>24</v>
      </c>
    </row>
    <row r="6" customFormat="false" ht="24" hidden="false" customHeight="true" outlineLevel="0" collapsed="false">
      <c r="A6" s="23" t="s">
        <v>25</v>
      </c>
      <c r="B6" s="23" t="s">
        <v>26</v>
      </c>
      <c r="C6" s="23" t="s">
        <v>27</v>
      </c>
      <c r="D6" s="24" t="n">
        <f aca="false">SUMIF('Raw Data'!B:B,"Fair Farm BD",'Raw Data'!E:E)</f>
        <v>22940</v>
      </c>
      <c r="E6" s="39" t="s">
        <v>73</v>
      </c>
      <c r="F6" s="26" t="n">
        <f aca="false">AVERAGEIF('Raw Data'!B:B,"Fair Farm BD",'Raw Data'!H:H)</f>
        <v>4.14166666666667</v>
      </c>
      <c r="G6" s="25" t="n">
        <f aca="false">AVERAGEIF('Raw Data'!B:B,"Fair Farm BD",'Raw Data'!I:I)</f>
        <v>81.5833333333333</v>
      </c>
      <c r="H6" s="23" t="s">
        <v>19</v>
      </c>
      <c r="I6" s="40" t="s">
        <v>18</v>
      </c>
    </row>
    <row r="7" customFormat="false" ht="24" hidden="false" customHeight="true" outlineLevel="0" collapsed="false">
      <c r="A7" s="28" t="s">
        <v>28</v>
      </c>
      <c r="B7" s="28" t="s">
        <v>29</v>
      </c>
      <c r="C7" s="28" t="s">
        <v>30</v>
      </c>
      <c r="D7" s="29" t="n">
        <f aca="false">SUMIF('Raw Data'!B:B,"Infinabel",'Raw Data'!E:E)</f>
        <v>25254</v>
      </c>
      <c r="E7" s="41" t="s">
        <v>73</v>
      </c>
      <c r="F7" s="31" t="n">
        <f aca="false">AVERAGEIF('Raw Data'!B:B,"Infinabel",'Raw Data'!H:H)</f>
        <v>4.15833333333333</v>
      </c>
      <c r="G7" s="30" t="n">
        <f aca="false">AVERAGEIF('Raw Data'!B:B,"Infinabel",'Raw Data'!I:I)</f>
        <v>81.0833333333333</v>
      </c>
      <c r="H7" s="28" t="s">
        <v>19</v>
      </c>
      <c r="I7" s="40" t="s">
        <v>18</v>
      </c>
    </row>
    <row r="8" customFormat="false" ht="24" hidden="false" customHeight="true" outlineLevel="0" collapsed="false">
      <c r="A8" s="23" t="s">
        <v>31</v>
      </c>
      <c r="B8" s="23" t="s">
        <v>32</v>
      </c>
      <c r="C8" s="23" t="s">
        <v>17</v>
      </c>
      <c r="D8" s="24" t="n">
        <f aca="false">SUMIF('Raw Data'!B:B,"Nodi Bangla",'Raw Data'!E:E)</f>
        <v>27128</v>
      </c>
      <c r="E8" s="39" t="s">
        <v>73</v>
      </c>
      <c r="F8" s="26" t="n">
        <f aca="false">AVERAGEIF('Raw Data'!B:B,"Nodi Bangla",'Raw Data'!H:H)</f>
        <v>4.125</v>
      </c>
      <c r="G8" s="25" t="n">
        <f aca="false">AVERAGEIF('Raw Data'!B:B,"Nodi Bangla",'Raw Data'!I:I)</f>
        <v>80.75</v>
      </c>
      <c r="H8" s="23" t="s">
        <v>33</v>
      </c>
      <c r="I8" s="42" t="s">
        <v>24</v>
      </c>
    </row>
    <row r="9" customFormat="false" ht="24" hidden="false" customHeight="true" outlineLevel="0" collapsed="false">
      <c r="A9" s="28" t="s">
        <v>34</v>
      </c>
      <c r="B9" s="28" t="s">
        <v>35</v>
      </c>
      <c r="C9" s="28" t="s">
        <v>27</v>
      </c>
      <c r="D9" s="29" t="n">
        <f aca="false">SUMIF('Raw Data'!B:B,"Robust Developments",'Raw Data'!E:E)</f>
        <v>29398</v>
      </c>
      <c r="E9" s="41" t="s">
        <v>73</v>
      </c>
      <c r="F9" s="31" t="n">
        <f aca="false">AVERAGEIF('Raw Data'!B:B,"Robust Developments",'Raw Data'!H:H)</f>
        <v>4.15833333333333</v>
      </c>
      <c r="G9" s="30" t="n">
        <f aca="false">AVERAGEIF('Raw Data'!B:B,"Robust Developments",'Raw Data'!I:I)</f>
        <v>81.4166666666667</v>
      </c>
      <c r="H9" s="28" t="s">
        <v>19</v>
      </c>
      <c r="I9" s="40" t="s">
        <v>18</v>
      </c>
    </row>
    <row r="10" customFormat="false" ht="24" hidden="false" customHeight="true" outlineLevel="0" collapsed="false">
      <c r="A10" s="23" t="s">
        <v>37</v>
      </c>
      <c r="B10" s="23" t="s">
        <v>38</v>
      </c>
      <c r="C10" s="23" t="s">
        <v>23</v>
      </c>
      <c r="D10" s="24" t="n">
        <f aca="false">SUMIF('Raw Data'!B:B,"Monoara Jahur",'Raw Data'!E:E)</f>
        <v>31616</v>
      </c>
      <c r="E10" s="39" t="s">
        <v>73</v>
      </c>
      <c r="F10" s="26" t="n">
        <f aca="false">AVERAGEIF('Raw Data'!B:B,"Monoara Jahur",'Raw Data'!H:H)</f>
        <v>4.125</v>
      </c>
      <c r="G10" s="25" t="n">
        <f aca="false">AVERAGEIF('Raw Data'!B:B,"Monoara Jahur",'Raw Data'!I:I)</f>
        <v>80.0833333333333</v>
      </c>
      <c r="H10" s="23" t="s">
        <v>19</v>
      </c>
      <c r="I10" s="40" t="s">
        <v>18</v>
      </c>
    </row>
    <row r="11" customFormat="false" ht="24" hidden="false" customHeight="true" outlineLevel="0" collapsed="false">
      <c r="A11" s="28" t="s">
        <v>39</v>
      </c>
      <c r="B11" s="28" t="s">
        <v>40</v>
      </c>
      <c r="C11" s="28" t="s">
        <v>30</v>
      </c>
      <c r="D11" s="29" t="n">
        <f aca="false">SUMIF('Raw Data'!B:B,"TechnoVate BD",'Raw Data'!E:E)</f>
        <v>34000</v>
      </c>
      <c r="E11" s="41" t="s">
        <v>73</v>
      </c>
      <c r="F11" s="31" t="n">
        <f aca="false">AVERAGEIF('Raw Data'!B:B,"TechnoVate BD",'Raw Data'!H:H)</f>
        <v>4.125</v>
      </c>
      <c r="G11" s="30" t="n">
        <f aca="false">AVERAGEIF('Raw Data'!B:B,"TechnoVate BD",'Raw Data'!I:I)</f>
        <v>80.75</v>
      </c>
      <c r="H11" s="28" t="s">
        <v>33</v>
      </c>
      <c r="I11" s="43" t="s">
        <v>41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8"/>
    <col collapsed="false" customWidth="true" hidden="false" outlineLevel="0" max="6" min="6" style="0" width="13"/>
  </cols>
  <sheetData>
    <row r="1" customFormat="false" ht="36" hidden="false" customHeight="true" outlineLevel="0" collapsed="false">
      <c r="A1" s="38" t="s">
        <v>74</v>
      </c>
      <c r="B1" s="38"/>
      <c r="C1" s="38"/>
      <c r="D1" s="38"/>
      <c r="E1" s="38"/>
      <c r="F1" s="38"/>
    </row>
    <row r="3" customFormat="false" ht="15" hidden="false" customHeight="false" outlineLevel="0" collapsed="false">
      <c r="A3" s="22" t="s">
        <v>0</v>
      </c>
      <c r="B3" s="22" t="s">
        <v>75</v>
      </c>
      <c r="C3" s="22" t="s">
        <v>6</v>
      </c>
      <c r="D3" s="22" t="s">
        <v>56</v>
      </c>
      <c r="E3" s="22" t="s">
        <v>64</v>
      </c>
      <c r="F3" s="22" t="s">
        <v>9</v>
      </c>
    </row>
    <row r="4" customFormat="false" ht="15" hidden="false" customHeight="false" outlineLevel="0" collapsed="false">
      <c r="A4" s="44" t="s">
        <v>14</v>
      </c>
      <c r="B4" s="44" t="n">
        <v>9.3</v>
      </c>
      <c r="C4" s="44" t="n">
        <v>18</v>
      </c>
      <c r="D4" s="44" t="n">
        <v>3.6</v>
      </c>
      <c r="E4" s="44" t="n">
        <v>64</v>
      </c>
      <c r="F4" s="44" t="n">
        <v>12</v>
      </c>
    </row>
    <row r="5" customFormat="false" ht="15" hidden="false" customHeight="false" outlineLevel="0" collapsed="false">
      <c r="A5" s="45" t="s">
        <v>42</v>
      </c>
      <c r="B5" s="45" t="n">
        <v>10.8</v>
      </c>
      <c r="C5" s="45" t="n">
        <v>17</v>
      </c>
      <c r="D5" s="45" t="n">
        <v>3.7</v>
      </c>
      <c r="E5" s="45" t="n">
        <v>68</v>
      </c>
      <c r="F5" s="45" t="n">
        <v>14</v>
      </c>
    </row>
    <row r="6" customFormat="false" ht="15" hidden="false" customHeight="false" outlineLevel="0" collapsed="false">
      <c r="A6" s="44" t="s">
        <v>43</v>
      </c>
      <c r="B6" s="44" t="n">
        <v>12.5</v>
      </c>
      <c r="C6" s="44" t="n">
        <v>16</v>
      </c>
      <c r="D6" s="44" t="n">
        <v>3.8</v>
      </c>
      <c r="E6" s="44" t="n">
        <v>71</v>
      </c>
      <c r="F6" s="44" t="n">
        <v>15</v>
      </c>
    </row>
    <row r="7" customFormat="false" ht="15" hidden="false" customHeight="false" outlineLevel="0" collapsed="false">
      <c r="A7" s="45" t="s">
        <v>44</v>
      </c>
      <c r="B7" s="45" t="n">
        <v>14</v>
      </c>
      <c r="C7" s="45" t="n">
        <v>15</v>
      </c>
      <c r="D7" s="45" t="n">
        <v>3.9</v>
      </c>
      <c r="E7" s="45" t="n">
        <v>74</v>
      </c>
      <c r="F7" s="45" t="n">
        <v>17</v>
      </c>
    </row>
    <row r="8" customFormat="false" ht="15" hidden="false" customHeight="false" outlineLevel="0" collapsed="false">
      <c r="A8" s="44" t="s">
        <v>45</v>
      </c>
      <c r="B8" s="44" t="n">
        <v>15.9</v>
      </c>
      <c r="C8" s="44" t="n">
        <v>14</v>
      </c>
      <c r="D8" s="44" t="n">
        <v>4</v>
      </c>
      <c r="E8" s="44" t="n">
        <v>78</v>
      </c>
      <c r="F8" s="44" t="n">
        <v>18</v>
      </c>
    </row>
    <row r="9" customFormat="false" ht="15" hidden="false" customHeight="false" outlineLevel="0" collapsed="false">
      <c r="A9" s="45" t="s">
        <v>46</v>
      </c>
      <c r="B9" s="45" t="n">
        <v>17.9</v>
      </c>
      <c r="C9" s="45" t="n">
        <v>13</v>
      </c>
      <c r="D9" s="45" t="n">
        <v>4.1</v>
      </c>
      <c r="E9" s="45" t="n">
        <v>82</v>
      </c>
      <c r="F9" s="45" t="n">
        <v>20</v>
      </c>
    </row>
    <row r="10" customFormat="false" ht="15" hidden="false" customHeight="false" outlineLevel="0" collapsed="false">
      <c r="A10" s="44" t="s">
        <v>47</v>
      </c>
      <c r="B10" s="44" t="n">
        <v>16.9</v>
      </c>
      <c r="C10" s="44" t="n">
        <v>13</v>
      </c>
      <c r="D10" s="44" t="n">
        <v>4.1</v>
      </c>
      <c r="E10" s="44" t="n">
        <v>80</v>
      </c>
      <c r="F10" s="44" t="n">
        <v>19</v>
      </c>
    </row>
    <row r="11" customFormat="false" ht="15" hidden="false" customHeight="false" outlineLevel="0" collapsed="false">
      <c r="A11" s="45" t="s">
        <v>48</v>
      </c>
      <c r="B11" s="45" t="n">
        <v>19.5</v>
      </c>
      <c r="C11" s="45" t="n">
        <v>12</v>
      </c>
      <c r="D11" s="45" t="n">
        <v>4.3</v>
      </c>
      <c r="E11" s="45" t="n">
        <v>86</v>
      </c>
      <c r="F11" s="45" t="n">
        <v>22</v>
      </c>
    </row>
    <row r="12" customFormat="false" ht="15" hidden="false" customHeight="false" outlineLevel="0" collapsed="false">
      <c r="A12" s="44" t="s">
        <v>49</v>
      </c>
      <c r="B12" s="44" t="n">
        <v>21.4</v>
      </c>
      <c r="C12" s="44" t="n">
        <v>11</v>
      </c>
      <c r="D12" s="44" t="n">
        <v>4.4</v>
      </c>
      <c r="E12" s="44" t="n">
        <v>88</v>
      </c>
      <c r="F12" s="44" t="n">
        <v>24</v>
      </c>
    </row>
    <row r="13" customFormat="false" ht="15" hidden="false" customHeight="false" outlineLevel="0" collapsed="false">
      <c r="A13" s="45" t="s">
        <v>50</v>
      </c>
      <c r="B13" s="45" t="n">
        <v>23.3</v>
      </c>
      <c r="C13" s="45" t="n">
        <v>10</v>
      </c>
      <c r="D13" s="45" t="n">
        <v>4.5</v>
      </c>
      <c r="E13" s="45" t="n">
        <v>91</v>
      </c>
      <c r="F13" s="45" t="n">
        <v>26</v>
      </c>
    </row>
    <row r="14" customFormat="false" ht="15" hidden="false" customHeight="false" outlineLevel="0" collapsed="false">
      <c r="A14" s="44" t="s">
        <v>51</v>
      </c>
      <c r="B14" s="44" t="n">
        <v>22.6</v>
      </c>
      <c r="C14" s="44" t="n">
        <v>9</v>
      </c>
      <c r="D14" s="44" t="n">
        <v>4.6</v>
      </c>
      <c r="E14" s="44" t="n">
        <v>90</v>
      </c>
      <c r="F14" s="44" t="n">
        <v>25</v>
      </c>
    </row>
    <row r="15" customFormat="false" ht="15" hidden="false" customHeight="false" outlineLevel="0" collapsed="false">
      <c r="A15" s="45" t="s">
        <v>52</v>
      </c>
      <c r="B15" s="45" t="n">
        <v>25</v>
      </c>
      <c r="C15" s="45" t="n">
        <v>9</v>
      </c>
      <c r="D15" s="45" t="n">
        <v>4.7</v>
      </c>
      <c r="E15" s="45" t="n">
        <v>94</v>
      </c>
      <c r="F15" s="45" t="n">
        <v>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2026-06-19T02:27:42Z</dcterms:created>
  <dc:creator>openpyxl</dc:creator>
  <dc:description/>
  <dc:language>en-US</dc:language>
  <cp:lastModifiedBy/>
  <dcterms:modified xsi:type="dcterms:W3CDTF">2026-06-19T02:27:49Z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